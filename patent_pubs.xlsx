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xr:revisionPtr revIDLastSave="0" documentId="13_ncr:1_{912B4D85-823E-45DE-A1C5-856B1C538D12}" xr6:coauthVersionLast="47" xr6:coauthVersionMax="47" xr10:uidLastSave="{00000000-0000-0000-0000-000000000000}"/>
  <bookViews>
    <workbookView xWindow="-90" yWindow="0" windowWidth="19380" windowHeight="20970" xr2:uid="{00000000-000D-0000-FFFF-FFFF00000000}"/>
  </bookViews>
  <sheets>
    <sheet name="Sheet1" sheetId="3"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 l="1"/>
  <c r="D3" i="3"/>
  <c r="D4" i="3"/>
  <c r="D5" i="3"/>
  <c r="D6" i="3"/>
  <c r="D7" i="3"/>
  <c r="D8" i="3"/>
  <c r="D9" i="3"/>
  <c r="D11" i="3"/>
  <c r="D10" i="3"/>
  <c r="D12" i="3"/>
  <c r="D14" i="3"/>
  <c r="D13" i="3"/>
  <c r="D15" i="3"/>
  <c r="D17" i="3"/>
  <c r="D16" i="3"/>
  <c r="D18" i="3"/>
  <c r="D19" i="3"/>
  <c r="D20" i="3"/>
  <c r="D21" i="3"/>
  <c r="D22" i="3"/>
  <c r="D23" i="3"/>
  <c r="D24" i="3"/>
  <c r="D25" i="3"/>
  <c r="D26" i="3"/>
  <c r="D27" i="3"/>
  <c r="D28" i="3"/>
  <c r="D29" i="3"/>
  <c r="D30" i="3"/>
  <c r="D31" i="3"/>
  <c r="D32" i="3"/>
  <c r="D34" i="3"/>
  <c r="D33" i="3"/>
  <c r="D35" i="3"/>
  <c r="D36" i="3"/>
  <c r="D37" i="3"/>
  <c r="D38" i="3"/>
  <c r="D39" i="3"/>
  <c r="D40" i="3"/>
  <c r="D41" i="3"/>
  <c r="D42" i="3"/>
  <c r="D43" i="3"/>
  <c r="D44" i="3"/>
  <c r="D45" i="3"/>
  <c r="D46" i="3"/>
  <c r="D47" i="3"/>
  <c r="D48" i="3"/>
  <c r="D49" i="3"/>
  <c r="D50" i="3"/>
  <c r="D51" i="3"/>
  <c r="D53" i="3"/>
  <c r="D52" i="3"/>
  <c r="D54" i="3"/>
  <c r="D55" i="3"/>
  <c r="D56" i="3"/>
  <c r="D57" i="3"/>
  <c r="P2" i="3"/>
  <c r="Q2" i="3" s="1"/>
  <c r="R2" i="3" s="1"/>
  <c r="P3" i="3"/>
  <c r="Q3" i="3" s="1"/>
  <c r="R3" i="3" s="1"/>
  <c r="P4" i="3"/>
  <c r="Q4" i="3" s="1"/>
  <c r="R4" i="3" s="1"/>
  <c r="P5" i="3"/>
  <c r="Q5" i="3" s="1"/>
  <c r="R5" i="3" s="1"/>
  <c r="P6" i="3"/>
  <c r="Q6" i="3" s="1"/>
  <c r="R6" i="3" s="1"/>
  <c r="P7" i="3"/>
  <c r="Q7" i="3" s="1"/>
  <c r="R7" i="3" s="1"/>
  <c r="P8" i="3"/>
  <c r="Q8" i="3" s="1"/>
  <c r="R8" i="3" s="1"/>
  <c r="P9" i="3"/>
  <c r="Q9" i="3" s="1"/>
  <c r="R9" i="3" s="1"/>
  <c r="P11" i="3"/>
  <c r="Q11" i="3" s="1"/>
  <c r="R11" i="3" s="1"/>
  <c r="P10" i="3"/>
  <c r="Q10" i="3" s="1"/>
  <c r="R10" i="3" s="1"/>
  <c r="P12" i="3"/>
  <c r="Q12" i="3" s="1"/>
  <c r="R12" i="3" s="1"/>
  <c r="P14" i="3"/>
  <c r="Q14" i="3" s="1"/>
  <c r="R14" i="3" s="1"/>
  <c r="P13" i="3"/>
  <c r="Q13" i="3" s="1"/>
  <c r="R13" i="3" s="1"/>
  <c r="P15" i="3"/>
  <c r="Q15" i="3" s="1"/>
  <c r="R15" i="3" s="1"/>
  <c r="P17" i="3"/>
  <c r="Q17" i="3" s="1"/>
  <c r="R17" i="3" s="1"/>
  <c r="P16" i="3"/>
  <c r="Q16" i="3" s="1"/>
  <c r="R16" i="3" s="1"/>
  <c r="P18" i="3"/>
  <c r="Q18" i="3" s="1"/>
  <c r="R18" i="3" s="1"/>
  <c r="P19" i="3"/>
  <c r="Q19" i="3" s="1"/>
  <c r="R19" i="3" s="1"/>
  <c r="P20" i="3"/>
  <c r="Q20" i="3" s="1"/>
  <c r="R20" i="3" s="1"/>
  <c r="P21" i="3"/>
  <c r="Q21" i="3"/>
  <c r="R21" i="3"/>
  <c r="P22" i="3"/>
  <c r="Q22" i="3"/>
  <c r="R22" i="3" s="1"/>
  <c r="P23" i="3"/>
  <c r="Q23" i="3"/>
  <c r="R23" i="3"/>
  <c r="P24" i="3"/>
  <c r="Q24" i="3"/>
  <c r="R24" i="3"/>
  <c r="P25" i="3"/>
  <c r="Q25" i="3"/>
  <c r="R25" i="3"/>
  <c r="P26" i="3"/>
  <c r="Q26" i="3" s="1"/>
  <c r="R26" i="3" s="1"/>
  <c r="P27" i="3"/>
  <c r="Q27" i="3" s="1"/>
  <c r="R27" i="3" s="1"/>
  <c r="P28" i="3"/>
  <c r="Q28" i="3" s="1"/>
  <c r="R28" i="3" s="1"/>
  <c r="P29" i="3"/>
  <c r="Q29" i="3"/>
  <c r="R29" i="3" s="1"/>
  <c r="P30" i="3"/>
  <c r="Q30" i="3" s="1"/>
  <c r="R30" i="3" s="1"/>
  <c r="P31" i="3"/>
  <c r="Q31" i="3" s="1"/>
  <c r="R31" i="3" s="1"/>
  <c r="P32" i="3"/>
  <c r="Q32" i="3" s="1"/>
  <c r="R32" i="3" s="1"/>
  <c r="P34" i="3"/>
  <c r="Q34" i="3" s="1"/>
  <c r="R34" i="3" s="1"/>
  <c r="P33" i="3"/>
  <c r="Q33" i="3" s="1"/>
  <c r="R33" i="3" s="1"/>
  <c r="P35" i="3"/>
  <c r="Q35" i="3" s="1"/>
  <c r="R35" i="3" s="1"/>
  <c r="P36" i="3"/>
  <c r="Q36" i="3" s="1"/>
  <c r="R36" i="3" s="1"/>
  <c r="P37" i="3"/>
  <c r="Q37" i="3" s="1"/>
  <c r="R37" i="3" s="1"/>
  <c r="P38" i="3"/>
  <c r="Q38" i="3" s="1"/>
  <c r="R38" i="3" s="1"/>
  <c r="P39" i="3"/>
  <c r="Q39" i="3" s="1"/>
  <c r="R39" i="3" s="1"/>
  <c r="P40" i="3"/>
  <c r="Q40" i="3" s="1"/>
  <c r="R40" i="3" s="1"/>
  <c r="P41" i="3"/>
  <c r="Q41" i="3" s="1"/>
  <c r="R41" i="3" s="1"/>
  <c r="P42" i="3"/>
  <c r="Q42" i="3" s="1"/>
  <c r="R42" i="3" s="1"/>
  <c r="P43" i="3"/>
  <c r="Q43" i="3" s="1"/>
  <c r="R43" i="3" s="1"/>
  <c r="P44" i="3"/>
  <c r="Q44" i="3" s="1"/>
  <c r="R44" i="3" s="1"/>
  <c r="P45" i="3"/>
  <c r="Q45" i="3" s="1"/>
  <c r="R45" i="3" s="1"/>
  <c r="P46" i="3"/>
  <c r="Q46" i="3" s="1"/>
  <c r="R46" i="3" s="1"/>
  <c r="P47" i="3"/>
  <c r="Q47" i="3" s="1"/>
  <c r="R47" i="3" s="1"/>
  <c r="P48" i="3"/>
  <c r="Q48" i="3" s="1"/>
  <c r="R48" i="3" s="1"/>
  <c r="P49" i="3"/>
  <c r="Q49" i="3" s="1"/>
  <c r="R49" i="3" s="1"/>
  <c r="P50" i="3"/>
  <c r="Q50" i="3" s="1"/>
  <c r="R50" i="3" s="1"/>
  <c r="P51" i="3"/>
  <c r="Q51" i="3" s="1"/>
  <c r="R51" i="3" s="1"/>
  <c r="P53" i="3"/>
  <c r="Q53" i="3" s="1"/>
  <c r="R53" i="3" s="1"/>
  <c r="P52" i="3"/>
  <c r="Q52" i="3" s="1"/>
  <c r="R52" i="3" s="1"/>
  <c r="P54" i="3"/>
  <c r="Q54" i="3"/>
  <c r="R54" i="3" s="1"/>
  <c r="P55" i="3"/>
  <c r="Q55" i="3" s="1"/>
  <c r="R55" i="3" s="1"/>
  <c r="P56" i="3"/>
  <c r="Q56" i="3" s="1"/>
  <c r="R56" i="3" s="1"/>
  <c r="P57" i="3"/>
  <c r="Q57" i="3" s="1"/>
  <c r="R57" i="3" s="1"/>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U2" i="2"/>
  <c r="V2" i="2" s="1"/>
  <c r="U3" i="2"/>
  <c r="V3" i="2" s="1"/>
  <c r="U4" i="2"/>
  <c r="U5" i="2"/>
  <c r="V5" i="2" s="1"/>
  <c r="U6" i="2"/>
  <c r="V6" i="2" s="1"/>
  <c r="U7" i="2"/>
  <c r="V7" i="2" s="1"/>
  <c r="U8" i="2"/>
  <c r="V8" i="2" s="1"/>
  <c r="U9" i="2"/>
  <c r="V9" i="2" s="1"/>
  <c r="U10" i="2"/>
  <c r="V10" i="2" s="1"/>
  <c r="U11" i="2"/>
  <c r="V11" i="2" s="1"/>
  <c r="U12" i="2"/>
  <c r="V12" i="2" s="1"/>
  <c r="U13" i="2"/>
  <c r="V13" i="2" s="1"/>
  <c r="U14" i="2"/>
  <c r="V14" i="2" s="1"/>
  <c r="U15" i="2"/>
  <c r="V15" i="2" s="1"/>
  <c r="U16" i="2"/>
  <c r="V16" i="2" s="1"/>
  <c r="U17" i="2"/>
  <c r="V17" i="2" s="1"/>
  <c r="U18" i="2"/>
  <c r="V18" i="2" s="1"/>
  <c r="U19" i="2"/>
  <c r="V19" i="2" s="1"/>
  <c r="U20" i="2"/>
  <c r="V20" i="2" s="1"/>
  <c r="U21" i="2"/>
  <c r="V21" i="2" s="1"/>
  <c r="U22" i="2"/>
  <c r="V22" i="2" s="1"/>
  <c r="U23" i="2"/>
  <c r="V23" i="2" s="1"/>
  <c r="U24" i="2"/>
  <c r="U25" i="2"/>
  <c r="U26" i="2"/>
  <c r="V26" i="2" s="1"/>
  <c r="U27" i="2"/>
  <c r="V27" i="2" s="1"/>
  <c r="U28" i="2"/>
  <c r="U29" i="2"/>
  <c r="V29" i="2" s="1"/>
  <c r="U30" i="2"/>
  <c r="V30" i="2" s="1"/>
  <c r="U31" i="2"/>
  <c r="V31" i="2" s="1"/>
  <c r="U32" i="2"/>
  <c r="U33" i="2"/>
  <c r="V33" i="2" s="1"/>
  <c r="U34" i="2"/>
  <c r="V34" i="2" s="1"/>
  <c r="U35" i="2"/>
  <c r="V35" i="2" s="1"/>
  <c r="U36" i="2"/>
  <c r="V36" i="2" s="1"/>
  <c r="U37" i="2"/>
  <c r="U38" i="2"/>
  <c r="U39" i="2"/>
  <c r="V39" i="2" s="1"/>
  <c r="U40" i="2"/>
  <c r="V40" i="2" s="1"/>
  <c r="U41" i="2"/>
  <c r="U42" i="2"/>
  <c r="U43" i="2"/>
  <c r="V43" i="2" s="1"/>
  <c r="U44" i="2"/>
  <c r="V44" i="2" s="1"/>
  <c r="U45" i="2"/>
  <c r="V45" i="2" s="1"/>
  <c r="U46" i="2"/>
  <c r="V46" i="2" s="1"/>
  <c r="U47" i="2"/>
  <c r="V47" i="2" s="1"/>
  <c r="U48" i="2"/>
  <c r="V48" i="2" s="1"/>
  <c r="U49" i="2"/>
  <c r="V49" i="2" s="1"/>
  <c r="U50" i="2"/>
  <c r="V50" i="2" s="1"/>
  <c r="U51" i="2"/>
  <c r="V51" i="2" s="1"/>
  <c r="U52" i="2"/>
  <c r="V52" i="2" s="1"/>
  <c r="U53" i="2"/>
  <c r="V53" i="2" s="1"/>
  <c r="U54" i="2"/>
  <c r="V54" i="2" s="1"/>
  <c r="U55" i="2"/>
  <c r="V55" i="2" s="1"/>
  <c r="U56" i="2"/>
  <c r="V56" i="2" s="1"/>
  <c r="U57" i="2"/>
  <c r="V57" i="2" s="1"/>
  <c r="U58" i="2"/>
  <c r="V58" i="2" s="1"/>
  <c r="U59" i="2"/>
  <c r="V59" i="2" s="1"/>
  <c r="U60" i="2"/>
  <c r="V60" i="2" s="1"/>
  <c r="U61" i="2"/>
  <c r="V61" i="2" s="1"/>
  <c r="U62" i="2"/>
  <c r="V62" i="2" s="1"/>
  <c r="U63" i="2"/>
  <c r="V63" i="2" s="1"/>
  <c r="U64" i="2"/>
  <c r="V64" i="2" s="1"/>
  <c r="U65" i="2"/>
  <c r="V65" i="2" s="1"/>
  <c r="U66" i="2"/>
  <c r="V66" i="2" s="1"/>
  <c r="U67" i="2"/>
  <c r="V67" i="2" s="1"/>
  <c r="U68" i="2"/>
  <c r="V68" i="2" s="1"/>
  <c r="U69" i="2"/>
  <c r="V69" i="2" s="1"/>
  <c r="U70" i="2"/>
  <c r="V70" i="2" s="1"/>
  <c r="U71" i="2"/>
  <c r="V71" i="2" s="1"/>
  <c r="U72" i="2"/>
  <c r="U73" i="2"/>
  <c r="U74" i="2"/>
  <c r="V74" i="2" s="1"/>
  <c r="U75" i="2"/>
  <c r="V75" i="2" s="1"/>
  <c r="U76" i="2"/>
  <c r="U77" i="2"/>
  <c r="V77" i="2" s="1"/>
  <c r="U78" i="2"/>
  <c r="V78" i="2" s="1"/>
  <c r="U79" i="2"/>
  <c r="V79" i="2" s="1"/>
  <c r="U80" i="2"/>
  <c r="V80" i="2" s="1"/>
  <c r="U81" i="2"/>
  <c r="V81" i="2" s="1"/>
  <c r="U82" i="2"/>
  <c r="V82" i="2" s="1"/>
  <c r="U83" i="2"/>
  <c r="V83" i="2" s="1"/>
  <c r="U84" i="2"/>
  <c r="U85" i="2"/>
  <c r="U86" i="2"/>
  <c r="U87" i="2"/>
  <c r="V87" i="2" s="1"/>
  <c r="U88" i="2"/>
  <c r="U89" i="2"/>
  <c r="U90" i="2"/>
  <c r="U91" i="2"/>
  <c r="V91" i="2" s="1"/>
  <c r="U92" i="2"/>
  <c r="U93" i="2"/>
  <c r="U94" i="2"/>
  <c r="V94" i="2" s="1"/>
  <c r="U95" i="2"/>
  <c r="V95" i="2" s="1"/>
  <c r="U96" i="2"/>
  <c r="V96" i="2" s="1"/>
  <c r="U97" i="2"/>
  <c r="V97" i="2" s="1"/>
  <c r="U98" i="2"/>
  <c r="V98" i="2" s="1"/>
  <c r="U99" i="2"/>
  <c r="V99" i="2" s="1"/>
  <c r="V4" i="2"/>
  <c r="V24" i="2"/>
  <c r="V25" i="2"/>
  <c r="V28" i="2"/>
  <c r="V32" i="2"/>
  <c r="V37" i="2"/>
  <c r="V38" i="2"/>
  <c r="V41" i="2"/>
  <c r="V42" i="2"/>
  <c r="V72" i="2"/>
  <c r="V73" i="2"/>
  <c r="V76" i="2"/>
  <c r="V84" i="2"/>
  <c r="V85" i="2"/>
  <c r="V86" i="2"/>
  <c r="V88" i="2"/>
  <c r="V89" i="2"/>
  <c r="V90" i="2"/>
  <c r="V92" i="2"/>
  <c r="V93" i="2"/>
  <c r="R58" i="3" l="1"/>
  <c r="V100" i="2"/>
</calcChain>
</file>

<file path=xl/sharedStrings.xml><?xml version="1.0" encoding="utf-8"?>
<sst xmlns="http://schemas.openxmlformats.org/spreadsheetml/2006/main" count="2469" uniqueCount="988">
  <si>
    <t>순번</t>
  </si>
  <si>
    <t>국가</t>
  </si>
  <si>
    <t>발명의 명칭</t>
  </si>
  <si>
    <t>요약</t>
  </si>
  <si>
    <t>분류</t>
  </si>
  <si>
    <t>출원번호</t>
  </si>
  <si>
    <t>출원일자</t>
  </si>
  <si>
    <t>공개번호</t>
  </si>
  <si>
    <t>공개일자</t>
  </si>
  <si>
    <t>등록번호</t>
  </si>
  <si>
    <t>등록일자</t>
  </si>
  <si>
    <t>공보일자</t>
  </si>
  <si>
    <t>국제출원번호</t>
  </si>
  <si>
    <t>국제출원일자</t>
  </si>
  <si>
    <t>국제공개번호</t>
  </si>
  <si>
    <t>국제공개일자</t>
  </si>
  <si>
    <t>출원인</t>
  </si>
  <si>
    <t>발명자</t>
  </si>
  <si>
    <t>US</t>
  </si>
  <si>
    <t>Ack transmission using multilink</t>
  </si>
  <si>
    <t>In a wireless local area network system, a receiving device may receive a Block Acknowledgment Request (BAR) frame including information related to a link for which an ACK is requested, and transmit a Block ACK (BA) frame on the basis of the BAR frame. The receiving device is a Multi-Link Device (MLD), which supports communication over multiple links. Each link of the multiple links can be configured based on 2.4 GHz band, 5 GHz band, and/or 6 GHz band defined in a conventional wireless local area network system.</t>
  </si>
  <si>
    <t>B2</t>
  </si>
  <si>
    <t>17757045</t>
  </si>
  <si>
    <t>2020.08.14</t>
  </si>
  <si>
    <t>20220385403</t>
  </si>
  <si>
    <t>2022.12.01</t>
  </si>
  <si>
    <t>12250076</t>
  </si>
  <si>
    <t>2025.03.11</t>
  </si>
  <si>
    <t>PCT/KR2020/010891</t>
  </si>
  <si>
    <t>20200814</t>
  </si>
  <si>
    <t>WO2021125491</t>
  </si>
  <si>
    <t>2021.06.24</t>
  </si>
  <si>
    <t/>
  </si>
  <si>
    <t>LG ELECTRONICS INC.</t>
  </si>
  <si>
    <t>Taewon Song|Jeongki Kim|Jinsoo Choi|Suhwook Kim|Namyeong Kim|Sungjin Park|Insun Jang</t>
  </si>
  <si>
    <t>Multi-link channel access</t>
  </si>
  <si>
    <t>In a wireless local area network (WLAN) system, a transmitting multi-link device (MLD) may defer the transmission of a PPDU on a first link, even if a back-off counter of a non-primary link reaches zero, as long as a back-off counter of a primary link does not reach zero. When the transmission of the PPDU is deferred, the back-off counter may be kept at zero.</t>
  </si>
  <si>
    <t>18216921</t>
  </si>
  <si>
    <t>2023.06.30</t>
  </si>
  <si>
    <t>20230345523</t>
  </si>
  <si>
    <t>2023.10.26</t>
  </si>
  <si>
    <t>12238761</t>
  </si>
  <si>
    <t>2025.02.25</t>
  </si>
  <si>
    <t>Insun Jang|Jeongki Kim|Jinsoo Choi|Suhwook Kim|Namyeong Kim|Sungjin Park|Taewon Song</t>
  </si>
  <si>
    <t>Method for performing multi-link communication in wireless communication system</t>
  </si>
  <si>
    <t>According to various embodiments, a multi-link device (MLD) operating in a plurality of links including a first link can transmit a request frame to a first AP of an AP MILD through a first STA (station), wherein the request frame includes an information field for requesting every element included in an element set designated for a second link. The MILD can, on the basis of the request frame, receive every element included in the element set designated for the second link.</t>
  </si>
  <si>
    <t>18585787</t>
  </si>
  <si>
    <t>2024.02.23</t>
  </si>
  <si>
    <t>20240205998</t>
  </si>
  <si>
    <t>2024.06.20</t>
  </si>
  <si>
    <t>12219638</t>
  </si>
  <si>
    <t>2025.02.04</t>
  </si>
  <si>
    <t>Namyeong Kim|Jeongki Kim|Jinsoo Choi|Sungjin Park|Taewon Song|Insun Jang</t>
  </si>
  <si>
    <t>Method for changing channel in multi-links</t>
  </si>
  <si>
    <t>Presented are a method by which a transmitting device performs channel switching between multi-links in a wireless local area network (LAN) system, and a device. Particularly, the method comprises the steps of: transmitting multi-link channel switching capability information to a receiving device, wherein the multi-link channel switching capability information includes information related to whether the transmitting device can perform channel changing between multi-link channels; transmitting a physical protocol data unit (PPDU) to the receiving device through a first link; transmitting a multi-link channel change signal to the receiving device through the first link; and transmitting the PPDU to the receiving device through a second link.</t>
  </si>
  <si>
    <t>17642624</t>
  </si>
  <si>
    <t>2020.09.03</t>
  </si>
  <si>
    <t>20220346176</t>
  </si>
  <si>
    <t>2022.10.27</t>
  </si>
  <si>
    <t>12219644</t>
  </si>
  <si>
    <t>PCT/KR2020/011838</t>
  </si>
  <si>
    <t>20200903</t>
  </si>
  <si>
    <t>WO2021049817</t>
  </si>
  <si>
    <t>2021.03.18</t>
  </si>
  <si>
    <t>Insun Jang|Jeongki Kim|Jinsoo Choi|Suhwook Kim|Sungjin Park|Taewon Song</t>
  </si>
  <si>
    <t>Transmission of capability information about link</t>
  </si>
  <si>
    <t>The present disclosure relates to a method performed by a non-access point (AP) station (STA) multi-link device (MLD) of a wireless LAN system, the method comprising the steps of: transmitting, through a first link, a negotiation frame including first maximum number of spatial stream (NSS) information to an AP MLD; and receiving a negotiation response frame from the AP MLD through the first link.</t>
  </si>
  <si>
    <t>17798820</t>
  </si>
  <si>
    <t>2020.12.22</t>
  </si>
  <si>
    <t>20230164634</t>
  </si>
  <si>
    <t>2023.05.25</t>
  </si>
  <si>
    <t>12200544</t>
  </si>
  <si>
    <t>2025.01.14</t>
  </si>
  <si>
    <t>PCT/KR2020/018878</t>
  </si>
  <si>
    <t>20201222</t>
  </si>
  <si>
    <t>WO2021162234</t>
  </si>
  <si>
    <t>2021.08.19</t>
  </si>
  <si>
    <t>Insun Jang|Jeongki Kim|Jinsoo Choi|Namyeong Kim|Suhwook Kim|Sungjin Park|Taewon Song</t>
  </si>
  <si>
    <t>Technique for performing multi-link communication in wireless communication system</t>
  </si>
  <si>
    <t>According to various embodiments, a multi-link device (MLD) operating in a plurality of links can receive a PPDU through a first link from among the plurality of links. The PPU can include a first information field related to a second link that is differentiated from the first link. The first information field related to a second link can include a second information field related to a link identifier of a second link and a third information field related to whether all pieces of element information related to a second link is included in the PPDU.</t>
  </si>
  <si>
    <t>17910692</t>
  </si>
  <si>
    <t>2021.03.16</t>
  </si>
  <si>
    <t>20230164661</t>
  </si>
  <si>
    <t>12192875</t>
  </si>
  <si>
    <t>2025.01.07</t>
  </si>
  <si>
    <t>PCT/KR2021/003221</t>
  </si>
  <si>
    <t>20210316</t>
  </si>
  <si>
    <t>WO2021187858</t>
  </si>
  <si>
    <t>2021.09.23</t>
  </si>
  <si>
    <t>NACK frame for HARQ operation</t>
  </si>
  <si>
    <t>In a wireless local area network (LAN) system, a transmission station (STA) may transmit, to a receiving STA, a PHY protocol data unit (PPDU) including a first redundancy version of transmission data. On the basis of whether an acknowledgement (ACK) or negative ACK (NACK) frame is received within a threshold time, the transmission STA may determine a second redundancy version of the transmission data to be retransmitted.</t>
  </si>
  <si>
    <t>17606714</t>
  </si>
  <si>
    <t>2020.04.16</t>
  </si>
  <si>
    <t>20220231797</t>
  </si>
  <si>
    <t>2022.07.21</t>
  </si>
  <si>
    <t>12184426</t>
  </si>
  <si>
    <t>2024.12.31</t>
  </si>
  <si>
    <t>PCT/KR2020/005100</t>
  </si>
  <si>
    <t>20200416</t>
  </si>
  <si>
    <t>WO2020222446</t>
  </si>
  <si>
    <t>2020.11.05</t>
  </si>
  <si>
    <t>Taewon Song|Kiseon Ryu|Jeongki Kim|Jinsoo Choi|Suhwook Kim|Insun Jang</t>
  </si>
  <si>
    <t>Mapping of TID and link in multi-link</t>
  </si>
  <si>
    <t>In a wireless local area network (LAN) system, a station (STA) may transmit a first physical protocol data unit (PPDU) including information indicating that a first traffic identifier (TID) is mapped to a first link and a second TID is mapped to a second link. The STA may transmit traffic pertaining to the first TID through only the first link, and traffic pertaining to the second TID through only the second link.</t>
  </si>
  <si>
    <t>17597170</t>
  </si>
  <si>
    <t>2020.06.22</t>
  </si>
  <si>
    <t>20220312522</t>
  </si>
  <si>
    <t>2022.09.29</t>
  </si>
  <si>
    <t>12177914</t>
  </si>
  <si>
    <t>2024.12.24</t>
  </si>
  <si>
    <t>PCT/KR2020/008060</t>
  </si>
  <si>
    <t>20200622</t>
  </si>
  <si>
    <t>WO2021002617</t>
  </si>
  <si>
    <t>2021.01.07</t>
  </si>
  <si>
    <t>MPDU padding for HARQ operation</t>
  </si>
  <si>
    <t>In a wireless local area network system, a station (STA) generates a physical (PHY) protocol data unit (PPDU) including at least one subframe and information related to a subframe length, wherein the subframe may include a medium access control (MAC) protocol data unit (MPDU) and a padding bit. The length of the padding bit may be determined such that the length of the subframes is an integer multiple of a codeword length. The information related to the subframe length may be information on the number of codewords related to the subframe length. A step in which the STA transmits the PPDU may be comprised.</t>
  </si>
  <si>
    <t>17600993</t>
  </si>
  <si>
    <t>2020.04.06</t>
  </si>
  <si>
    <t>20220167319</t>
  </si>
  <si>
    <t>2022.05.26</t>
  </si>
  <si>
    <t>12150098</t>
  </si>
  <si>
    <t>2024.11.19</t>
  </si>
  <si>
    <t>PCT/KR2020/004629</t>
  </si>
  <si>
    <t>20200406</t>
  </si>
  <si>
    <t>WO2020209558</t>
  </si>
  <si>
    <t>2020.10.15</t>
  </si>
  <si>
    <t>Taewon Song|Kiseon Ryu|Jeongki Kim|Jinsoo Choi|Suhwook Kim|Jinmin Kim|Insun Jang</t>
  </si>
  <si>
    <t>According to various embodiments, a multi-link device (MLD) operating in multiple links including a first link may transmit, through a first station (STA) and to a first AP of an AP multi-link device, a request frame including an information field for requesting at least one element related to a second link. The multi-link device may receive at least one element related to the second link on the basis of the request frame.</t>
  </si>
  <si>
    <t>17908801</t>
  </si>
  <si>
    <t>2021.03.05</t>
  </si>
  <si>
    <t>20230345349</t>
  </si>
  <si>
    <t>12133162</t>
  </si>
  <si>
    <t>2024.10.29</t>
  </si>
  <si>
    <t>PCT/KR2021/002737</t>
  </si>
  <si>
    <t>20210305</t>
  </si>
  <si>
    <t>WO2021177774</t>
  </si>
  <si>
    <t>2021.09.10</t>
  </si>
  <si>
    <t>18210913</t>
  </si>
  <si>
    <t>2023.06.16</t>
  </si>
  <si>
    <t>20230337306</t>
  </si>
  <si>
    <t>2023.10.19</t>
  </si>
  <si>
    <t>12120763</t>
  </si>
  <si>
    <t>2024.10.15</t>
  </si>
  <si>
    <t>18218898</t>
  </si>
  <si>
    <t>2023.07.06</t>
  </si>
  <si>
    <t>20230354452</t>
  </si>
  <si>
    <t>2023.11.02</t>
  </si>
  <si>
    <t>12089140</t>
  </si>
  <si>
    <t>2024.09.10</t>
  </si>
  <si>
    <t>Multi-link RTS and CTS transmissions</t>
  </si>
  <si>
    <t>In a wireless local area network system, a reception multi-link device (MLD) may not transmit a CTS frame, even if the reception multi-link device receives an RTS frame via a second link, in the case that an STA operating via a first link is a TXOP responder. In detail, the reception MLD may include at least one non-simultaneous transmit and receive (NSTR) link pair. A first STA affiliated with the MLD may determine to respond with the CTS frame to the RTS frame. The first STA does not respond with the CTS frame based on another STA being a transmission opportunity (TXOP) responder on another link.</t>
  </si>
  <si>
    <t>18597164</t>
  </si>
  <si>
    <t>2024.03.06</t>
  </si>
  <si>
    <t>20240215070</t>
  </si>
  <si>
    <t>2024.06.27</t>
  </si>
  <si>
    <t>12089255</t>
  </si>
  <si>
    <t>Channel access in multi-link</t>
  </si>
  <si>
    <t>A method for a non-simultaneous transmit and receive (non-STR) device in a wireless local area network (LAN) is provided. The non-STR device may support a multi-link communication related to a first link and a second link. The non-STR device may determine whether to transmit a first physical protocol data unit (PPDU), PPDU, based on a channel access result on the first link and a channel access result on the second link. The non-STR device determines not to transmit the first PPDU through the first link and keeps the back-off counter of the first link at zero (0) when a back-off counter of the first link reaches zero (0) and a back-off counter of the second link does not reach zero (0).</t>
  </si>
  <si>
    <t>17773767</t>
  </si>
  <si>
    <t>2020.10.28</t>
  </si>
  <si>
    <t>20220394759</t>
  </si>
  <si>
    <t>2022.12.08</t>
  </si>
  <si>
    <t>12082242</t>
  </si>
  <si>
    <t>2024.09.03</t>
  </si>
  <si>
    <t>PCT/KR2020/014771</t>
  </si>
  <si>
    <t>20201028</t>
  </si>
  <si>
    <t>WO2021085994</t>
  </si>
  <si>
    <t>2021.05.06</t>
  </si>
  <si>
    <t>Method and device for acquiring information on links between MLDS in wireless LAN system</t>
  </si>
  <si>
    <t>Proposed are a method and device for acquiring information on links between MLDs in a wireless LAN system. Specifically, a receiving MLD transmits a probe request frame to a transmitting MLD through a first link. The receiving MLD receives a probe response frame from the transmitting MLD through the first link. The transmitting MLD comprises: a first transmitting STA operating in the first link; a second transmitting STA operating in a second link; and a third transmitting STA operating in a third link. The receiving MLD comprises a first receiving STA operating in the first link. When the first receiving STA requests for information on the second and third links, the probe request frame includes link identifiers for the second and third links. When the first receiving STA requests for information on all the links, the probe request frame does not include link identifiers for all the links.</t>
  </si>
  <si>
    <t>18584228</t>
  </si>
  <si>
    <t>2024.02.22</t>
  </si>
  <si>
    <t>20240196460</t>
  </si>
  <si>
    <t>2024.06.13</t>
  </si>
  <si>
    <t>12082281</t>
  </si>
  <si>
    <t>Namyeong Kim|Jeongki Kim|Jinsoo Choi|Taewon Song|Insun Jang</t>
  </si>
  <si>
    <t>Signaling for multi-link transmission</t>
  </si>
  <si>
    <t>In a wireless local area network system, a multi-link device (MLD) may transmit a multi-link element including a number-of-links field and a link present field indicating whether the number-of-links field exists. The multi-link element further includes a multi-link control field, a common information field, and a link information field. The number-of-links field may be included in the multi-link control field.</t>
  </si>
  <si>
    <t>18216234</t>
  </si>
  <si>
    <t>2023.06.29</t>
  </si>
  <si>
    <t>20240064833</t>
  </si>
  <si>
    <t>12058753</t>
  </si>
  <si>
    <t>2024.08.06</t>
  </si>
  <si>
    <t>Transmission of a second ACK after failure of first ACK</t>
  </si>
  <si>
    <t>In a wireless local area network (LAN) system, a first station (STA) may check the transfer failure of a first acknowledgement (ACK) signal for a first frame, the signal being received through a first link. The first STA may transmit report information related to the transfer failure of the first ACK signal to a second STA through a second link. Here, the report information may include identification information associated with the first link. The first STA may receive a second frame from the second STA through the first link. The first STA may transmit a second ACK signal for the second frame to the second STA through the first link on a narrowband.</t>
  </si>
  <si>
    <t>17286662</t>
  </si>
  <si>
    <t>2019.10.28</t>
  </si>
  <si>
    <t>20210368491</t>
  </si>
  <si>
    <t>2021.11.25</t>
  </si>
  <si>
    <t>12010683</t>
  </si>
  <si>
    <t>2024.06.11</t>
  </si>
  <si>
    <t>PCT/KR2019/014253</t>
  </si>
  <si>
    <t>20191028</t>
  </si>
  <si>
    <t>WO2020091331</t>
  </si>
  <si>
    <t>2020.05.07</t>
  </si>
  <si>
    <t>Method and device for transmitting data in wireless LAN system</t>
  </si>
  <si>
    <t>A method and a device for transmitting data in a wireless LAN system are proposed. Specifically, an AP transmits a band switch announcement element through a first band supported by a first and a second RF. The AP changes the first band, supported by the second RF, to a second band on the basis of the band switch announcement element. The AP transmits first data to an STA through the first band supported by the first RF and the second band supported by the second RF. The first data is transmitted through a multiple band in which the first band and the second band are combined.</t>
  </si>
  <si>
    <t>17272513</t>
  </si>
  <si>
    <t>2019.09.18</t>
  </si>
  <si>
    <t>20220110119</t>
  </si>
  <si>
    <t>2022.04.07</t>
  </si>
  <si>
    <t>11991676</t>
  </si>
  <si>
    <t>2024.05.21</t>
  </si>
  <si>
    <t>PCT/KR2019/012025</t>
  </si>
  <si>
    <t>20190918</t>
  </si>
  <si>
    <t>WO2020060168</t>
  </si>
  <si>
    <t>2020.03.26</t>
  </si>
  <si>
    <t>Taewon Song|Suhwook Kim|Jeongki Kim|Kiseon Ryu|Insun Jang|Jinsoo Choi</t>
  </si>
  <si>
    <t>Codeword-setting technique for HARQ operation</t>
  </si>
  <si>
    <t>A transmission station (STA) of a wireless local area network system, according to various embodiments, may receive information related to the length of a codeword from a reception STA. On the basis of the information related to the length of the codeword, the transmission STA sets the codeword to be retransmitted and transmits same.</t>
  </si>
  <si>
    <t>17769267</t>
  </si>
  <si>
    <t>2020.08.28</t>
  </si>
  <si>
    <t>20230299873</t>
  </si>
  <si>
    <t>2023.09.21</t>
  </si>
  <si>
    <t>11984973</t>
  </si>
  <si>
    <t>2024.05.14</t>
  </si>
  <si>
    <t>PCT/KR2020/011557</t>
  </si>
  <si>
    <t>20200828</t>
  </si>
  <si>
    <t>WO2021080155</t>
  </si>
  <si>
    <t>2021.04.29</t>
  </si>
  <si>
    <t>Jinmin Kim|Jinsoo Choi|Dongguk Lim|Eunsung Park|Taewon Song</t>
  </si>
  <si>
    <t>Method and device for controlling plurality of links in wireless local area network system supporting plurality of links</t>
  </si>
  <si>
    <t>According to various embodiments, a method performed in a wireless local area network (WLAN) system may comprise the steps of: receiving, by a first station (STA) supporting a first and a second link, a physical protocol data unit (PPDU) generated for a second STA, via the first link, the PPDU being received from a BSS to which the first STA belongs; setting, by the first STA, a first type NAV for the first link on the basis of the PPDU; and setting, by the first STA, a first type NAV for the second link on the basis of the PPDU.</t>
  </si>
  <si>
    <t>17267438</t>
  </si>
  <si>
    <t>2019.08.09</t>
  </si>
  <si>
    <t>20210329698</t>
  </si>
  <si>
    <t>2021.10.21</t>
  </si>
  <si>
    <t>11943809</t>
  </si>
  <si>
    <t>2024.03.26</t>
  </si>
  <si>
    <t>PCT/KR2019/010043</t>
  </si>
  <si>
    <t>20190809</t>
  </si>
  <si>
    <t>WO2020032664</t>
  </si>
  <si>
    <t>2020.02.13</t>
  </si>
  <si>
    <t>Insun Jang|Suhwook Kim|Jeongki Kim|Kiseon Ryu|Sungjin Park|Taewon Song|Jinsoo Choi</t>
  </si>
  <si>
    <t>Method and device for transceiving frame in wireless LAN system</t>
  </si>
  <si>
    <t>Provided is a method and device for transceiving a frame in a wireless Local Area Network (LAN) system. Particularly, an Access Point (AP) transmits a first frame to a first station (STA) via a first band. The AP receives a second frame from a second STA via a second band while the first frame is being transmitted. The first band and the second band are combined with each other as a multi-band. The multi-band simultaneously supports a Downlink (DL) transmission and a Uplink (UL) transmission. The relationship between the first STA and the second STA is a hidden node. A Physical (PHY) header of the first frame includes channel status information of the second band. A Network Allocation Vector (NAV) of the first STA is set up on the basis of the channel status information.</t>
  </si>
  <si>
    <t>17272494</t>
  </si>
  <si>
    <t>2019.08.28</t>
  </si>
  <si>
    <t>20210328741</t>
  </si>
  <si>
    <t>11916822</t>
  </si>
  <si>
    <t>2024.02.27</t>
  </si>
  <si>
    <t>PCT/KR2019/010986</t>
  </si>
  <si>
    <t>20190828</t>
  </si>
  <si>
    <t>WO2020050541</t>
  </si>
  <si>
    <t>2020.03.12</t>
  </si>
  <si>
    <t>Insun Jang|Suhwook Kim|Jeongki Kim|Kiseon Ryu|Taewon Song|Jinsoo Choi</t>
  </si>
  <si>
    <t>Method and device for receiving WUR discovery frame in wireless LAN system</t>
  </si>
  <si>
    <t>Proposed herein is a method and device for receiving a WUR discovery frame in a wireless LAN system. More specifically, a station (STA) receives a WUR discovery element from an access point (AP). The STA receives the WUR discovery frame from a neighbor AP based on the WUR discovery element. The WUR discovery element includes AP list information. The AP list information includes information on a WUR discovery period. The WUR discovery frame is received during the WUR discovery period.</t>
  </si>
  <si>
    <t>16629028</t>
  </si>
  <si>
    <t>2019.05.02</t>
  </si>
  <si>
    <t>20220346009</t>
  </si>
  <si>
    <t>11889418</t>
  </si>
  <si>
    <t>2024.01.30</t>
  </si>
  <si>
    <t>PCT/KR2019/005254</t>
  </si>
  <si>
    <t>20190502</t>
  </si>
  <si>
    <t>WO2019245158</t>
  </si>
  <si>
    <t>2019.12.26</t>
  </si>
  <si>
    <t>LG Electronics Inc.</t>
  </si>
  <si>
    <t>Taewon Song|Suhwook Kim|Jeongki Kim|Kiseon Ryu|Jinsoo Choi</t>
  </si>
  <si>
    <t>18220170</t>
  </si>
  <si>
    <t>2023.07.10</t>
  </si>
  <si>
    <t>20230354146</t>
  </si>
  <si>
    <t>11882512</t>
  </si>
  <si>
    <t>2024.01.23</t>
  </si>
  <si>
    <t>18210542</t>
  </si>
  <si>
    <t>2023.06.15</t>
  </si>
  <si>
    <t>20230328774</t>
  </si>
  <si>
    <t>2023.10.12</t>
  </si>
  <si>
    <t>11871447</t>
  </si>
  <si>
    <t>2024.01.09</t>
  </si>
  <si>
    <t>Technique for controlling plurality of wireless communication links</t>
  </si>
  <si>
    <t>One embodiment according to the present specification relates to a method for transmitting, from a first link, information for setting a NAV in a second link. When transmission STA performs communication through a second link, the transmission STA can transmit, through a first link, information for setting the NAV for the second link in another STA. Particularly, the transmission STA can receive, from the second reception STA, a second frame through the second link. The transmission STA can transmit, to a first reception STA, a first frame through the first link during the reception of the second frame. The first frame can include information for setting the NAV for the second link. The first reception STA can set the NAV for the second link on the basis of the first frame.</t>
  </si>
  <si>
    <t>17276751</t>
  </si>
  <si>
    <t>2019.09.17</t>
  </si>
  <si>
    <t>20220053559</t>
  </si>
  <si>
    <t>2022.02.17</t>
  </si>
  <si>
    <t>11838951</t>
  </si>
  <si>
    <t>2023.12.05</t>
  </si>
  <si>
    <t>PCT/KR2019/011981</t>
  </si>
  <si>
    <t>20190917</t>
  </si>
  <si>
    <t>WO2020060145</t>
  </si>
  <si>
    <t>Method and device for transmitting signal through multi-link in wireless LAN system</t>
  </si>
  <si>
    <t>A method for operation in a wireless local area network (WLAN) system according to various embodiments may comprise the steps of: determining, by a transmitting device, whether a second link is in an idle state for a first time interval, after receiving an ACK through a first link within a TXOP configured for the first link; aggregating, by the transmitting device, the first link and the second link on the basis of the determination; and transmitting, by the transmitting device, a packet through the aggregated first link and second link.</t>
  </si>
  <si>
    <t>17266989</t>
  </si>
  <si>
    <t>2019.08.08</t>
  </si>
  <si>
    <t>20210315036</t>
  </si>
  <si>
    <t>2021.10.07</t>
  </si>
  <si>
    <t>11723094</t>
  </si>
  <si>
    <t>2023.08.08</t>
  </si>
  <si>
    <t>PCT/KR2019/009991</t>
  </si>
  <si>
    <t>20190808</t>
  </si>
  <si>
    <t>WO2020032633</t>
  </si>
  <si>
    <t>Method and apparatus for transmitting PPDU on basis of S-TDMA in wireless LAN system</t>
  </si>
  <si>
    <t>A method and apparatus for transmitting a PPDU on the basis of S-TDMA in a wireless LAN system are presented. In particular, an AP generates a PPDU, and transmits the PPDU to a first STA and a second STA. When a PPDU further comprises a third signal field, the third signal field comprises information about S-TDMA. The information about S-TDMA comprises STDMA indication information indicating that S-TDMA can be carried out, first symbol offset information about a first data field, and second symbol offset information about a second data field. The S-TDMA indication information comprises information indicating that the first and second data fields are assigned to a first RU. The first data field is transmitted from the first RU during a first symbol determined on the basis of the first symbol offset information. The second data field is transmitted from the first RU during a second symbol determined on the basis of the second symbol offset information.</t>
  </si>
  <si>
    <t>16978175</t>
  </si>
  <si>
    <t>2019.03.26</t>
  </si>
  <si>
    <t>20210050914</t>
  </si>
  <si>
    <t>2021.02.18</t>
  </si>
  <si>
    <t>11641237</t>
  </si>
  <si>
    <t>2023.05.02</t>
  </si>
  <si>
    <t>PCT/KR2019/003475</t>
  </si>
  <si>
    <t>20190326</t>
  </si>
  <si>
    <t>WO2019190150</t>
  </si>
  <si>
    <t>2019.10.03</t>
  </si>
  <si>
    <t>Techniques for performing multi-link communication in wireless local area network system</t>
  </si>
  <si>
    <t>According to various embodiments, a multi-link device (MLD) operating in a first link and a second link may transmit information on data buffered in the MLD through a first station (STA) operating in an awake state. The information on the data buffered in the MLD may include a first information field related to the first STA and a second information field related to a second STA.</t>
  </si>
  <si>
    <t>17162290</t>
  </si>
  <si>
    <t>2021.01.29</t>
  </si>
  <si>
    <t>20210259033</t>
  </si>
  <si>
    <t>11641685</t>
  </si>
  <si>
    <t>Namyeong Kim|Jeongki Kim|Jinsoo Choi|Suhwook Kim|Sungjin Park|Taewon Song|Insun Jang|Sunhee Baek</t>
  </si>
  <si>
    <t>A method and device for transmitting data in a wireless LAN system are provided. Particularly, a transmission device receives configuration information relating to a multi-band. The transmission device performs channel sensing with respect to the multi-band. The transmission device transmits data to a reception device via the multi-band on the basis of the result of the channel sensing. A first band and a second band are combined in the multi-band. The first band comprises a first primary channel, and the second band comprises a second primary channel. The result of the channel sensing is obtained on the basis of whether or not the first primary channel is idle until a first BC value becomes 0 and whether or not the second primary channel is idle until a second BC value becomes 0. The first BC value is selected within a first CW configured with respect to the first primary channel. The second BC value is selected within a second CW configured with respect to the second primary channel.</t>
  </si>
  <si>
    <t>17252719</t>
  </si>
  <si>
    <t>2019.06.18</t>
  </si>
  <si>
    <t>20210153248</t>
  </si>
  <si>
    <t>2021.05.20</t>
  </si>
  <si>
    <t>11601973</t>
  </si>
  <si>
    <t>2023.03.07</t>
  </si>
  <si>
    <t>PCT/KR2019/007347</t>
  </si>
  <si>
    <t>20190618</t>
  </si>
  <si>
    <t>WO2019245267</t>
  </si>
  <si>
    <t>Method for communication in wireless LAN system and wireless terminal using same</t>
  </si>
  <si>
    <t>The present specification proposes a technical feature related to a wake-up radio (WUR) STA. Specifically, proposed is an operation of updating a parameter related to an operation of a WUR mode. For example, the WUR STA may update a parameter related to the WUR mode by receiving an unsolicited frame from an AP while maintaining the WUR mode. The received frame may have a preset action type.</t>
  </si>
  <si>
    <t>17050824</t>
  </si>
  <si>
    <t>2019.04.22</t>
  </si>
  <si>
    <t>20210051580</t>
  </si>
  <si>
    <t>11582692</t>
  </si>
  <si>
    <t>2023.02.14</t>
  </si>
  <si>
    <t>PCT/KR2019/004816</t>
  </si>
  <si>
    <t>20190422</t>
  </si>
  <si>
    <t>WO2019208988</t>
  </si>
  <si>
    <t>2019.10.31</t>
  </si>
  <si>
    <t>Suhwook Kim|Jeongki Kim|Kiseon Ryu|Taewon Song|Jinsoo Choi</t>
  </si>
  <si>
    <t>Method and apparatus for transmitting PPDU in WLAN system</t>
  </si>
  <si>
    <t>A method and an apparatus for transmitting a PPDU in a WLAN system are proposed. Particularly, a transmission device receives configuration information relating to a multi-band. The transmission device performs channel sensing with respect to the multi-band. The transmission device transmits PPDUs to a reception device via the multi-band on the basis of the result of the channel sensing. In the multi-hand, a first band and a second band are combined. The first band includes a first primary channel. The second band includes a second primary channel. The channel sensing is performed on the basis of a first CW value which is set in common for the first and second bands. If transmission of some PPDUs allocated to the second band of the PPDUs fails, the first CW value is increased.</t>
  </si>
  <si>
    <t>17267805</t>
  </si>
  <si>
    <t>2019.07.23</t>
  </si>
  <si>
    <t>20210168868</t>
  </si>
  <si>
    <t>2021.06.03</t>
  </si>
  <si>
    <t>11497058</t>
  </si>
  <si>
    <t>2022.11.08</t>
  </si>
  <si>
    <t>PCT/KR2019/009080</t>
  </si>
  <si>
    <t>20190723</t>
  </si>
  <si>
    <t>WO2020032430</t>
  </si>
  <si>
    <t>Proposed is a method and device for receiving data in a wireless LAN system. Specifically, an AP transmits a trigger frame to a first to a third station (STA) through a multi-band. The AP receives data from the first to third STAs on the basis of the trigger frame. In the multi-band, a first band to a third band are combined. The trigger frame includes a common information field and a first to a third user information field. When the first and second STAs are associated with the first band, the first user information field includes user information relating to the first and second STAs. When the second and third STAs are associated with the second band, the second user information field includes user information relating to the second and third STAs. When the third STA is associated with the third band, the third user information field includes user information relating to the third STA.</t>
  </si>
  <si>
    <t>17256146</t>
  </si>
  <si>
    <t>2019.07.10</t>
  </si>
  <si>
    <t>20210176643</t>
  </si>
  <si>
    <t>2021.06.10</t>
  </si>
  <si>
    <t>11490261</t>
  </si>
  <si>
    <t>2022.11.01</t>
  </si>
  <si>
    <t>PCT/KR2019/008480</t>
  </si>
  <si>
    <t>20190710</t>
  </si>
  <si>
    <t>WO2020013594</t>
  </si>
  <si>
    <t>2020.01.16</t>
  </si>
  <si>
    <t>Insun Jang|Suhwook Kim|Jeongki Kim|Kiseon Ryu|Eunsung Park|Taewon Song|Jinsoo Choi</t>
  </si>
  <si>
    <t>A method and an apparatus for transmitting a PPDU on the basis of an S-TDMA in a wireless LAN system are presented. Particularly, an AP transmits a trigger frame to a first STA and a second STA. The AP receives, on the basis of the trigger frame, a first trigger-based frame from the first STA and a second trigger-based frame from the second STA. The trigger frame includes a common information field and a user information field. The common information field includes S-TDMA indication information enabling the S-TDMA to be performed. The user information field includes: allocation information on a first RU to which the first trigger-based frame and the second trigger-based frame are transmitted; first symbol offset information on the first trigger-based frame; and second symbol offset information on the second trigger-based frame.</t>
  </si>
  <si>
    <t>16979504</t>
  </si>
  <si>
    <t>20210006444</t>
  </si>
  <si>
    <t>11451424</t>
  </si>
  <si>
    <t>2022.09.20</t>
  </si>
  <si>
    <t>PCT/KR2019/003476</t>
  </si>
  <si>
    <t>WO2019190151</t>
  </si>
  <si>
    <t>Method for performing communication on basis of power-saving operation in wireless LAN system, and wireless terminal using same</t>
  </si>
  <si>
    <t>A method for performing communication based on a power saving operation in a wireless LAN system according to an embodiment includes: receiving, by a first wireless terminal including a main radio module and a wake-up radio (WUR) module for receiving a wake-up packet modulated with on-off keying (OOK), the wake-up packet from a second wireless terminal based on the WUR module in a WUR mode in which the WUR module is controlled to alternate between a turn-on state and a turn-off state based on a power state of the main radio module, the wake-up packet including information related to an individually addressed frame for the first wireless terminal; and controlling, by the first wireless terminal, the main radio module such that the main radio module is in an awake state in a predetermined service period related to the main radio module when a predetermined time has elapsed after reception of the wake-up packet.</t>
  </si>
  <si>
    <t>16961655</t>
  </si>
  <si>
    <t>2019.01.11</t>
  </si>
  <si>
    <t>20200404588</t>
  </si>
  <si>
    <t>2020.12.24</t>
  </si>
  <si>
    <t>11330523</t>
  </si>
  <si>
    <t>2022.05.10</t>
  </si>
  <si>
    <t>PCT/KR2019/000445</t>
  </si>
  <si>
    <t>20190111</t>
  </si>
  <si>
    <t>WO2019139398</t>
  </si>
  <si>
    <t>2019.07.18</t>
  </si>
  <si>
    <t>Suhwook Kim|Jeongki Kim|Kiseon Ryu|Taewon Song</t>
  </si>
  <si>
    <t>Proposed are a method and a device for transmitting data in a wireless LAN system. Specifically, a transmission device receives configuration information of a multi-band formed by aggregating first to third bands. The transmission device carries out channel sensing on the first to third bands. The transmission device transmits data to a receiving device on the basis of the result of the channel sensing. The first band comprises a first primary channel and a first secondary channel; the second band comprises a second primary channel and a second secondary channel; and the third band comprises a third primary channel and a third secondary channel.</t>
  </si>
  <si>
    <t>17253591</t>
  </si>
  <si>
    <t>20210176785</t>
  </si>
  <si>
    <t>11324046</t>
  </si>
  <si>
    <t>2022.05.03</t>
  </si>
  <si>
    <t>PCT/KR2019/007339</t>
  </si>
  <si>
    <t>WO2019245265</t>
  </si>
  <si>
    <t>Method for supporting dual connectivity in wireless LAN system and wireless terminal using same</t>
  </si>
  <si>
    <t>A method for supporting dual connectivity performed by a STA connected to a first AP and a second AP in a WLAN according to one embodiment includes: determining whether a predetermined AP change condition is satisfied while performing uplink transmission based on a first operating band for the first AP; transmitting an AP change request frame to the first AP in order to perform uplink transmission based on a second operating band for the second AP when it is determined that the AP change condition is satisfied; receiving an AP change response frame from the first AP in response to the AP change request frame; performing a channel switch operation from the first operating band to the second operating band when the AP change request frame is received; and transmitting an uplink frame to the second AP based on the second operating band.</t>
  </si>
  <si>
    <t>17042083</t>
  </si>
  <si>
    <t>2019.03.25</t>
  </si>
  <si>
    <t>20210100052</t>
  </si>
  <si>
    <t>2021.04.01</t>
  </si>
  <si>
    <t>11265942</t>
  </si>
  <si>
    <t>2022.03.01</t>
  </si>
  <si>
    <t>PCT/KR2019/003428</t>
  </si>
  <si>
    <t>20190325</t>
  </si>
  <si>
    <t>WO2019190133</t>
  </si>
  <si>
    <t>Suhwook Kim|Jeongki Kim|Kiseon Ryu|Taewon Song|Insun Jang|Jinsoo Choi</t>
  </si>
  <si>
    <t>Method for transmitting or receiving frame in wireless LAN and device therefor</t>
  </si>
  <si>
    <t>A method by which an access point (AP) transmits a frame in a wireless LAN, according to one embodiment of the present disclosure, comprises: determining a wake-up radio (WUR) identifier (WID) for identifying a station (STA) and a group identifier (GID) for identifying an STA group to which the STA belongs, in a WUR mode; transmitting the WID and the GID through a primary connectivity radio (PCR) so as to allocate, to the STA, the determined WID and GID; and transmitting, based on the GID or the WID, a WUR frame for waking up a plurality of STAs including the STA operating in the WUR mode, wherein the AP can determine the GID by using a part of an ID space which can be used in the WUR, and determine the WID by using the remaining space excluding the partial ID space used for the GID.</t>
  </si>
  <si>
    <t>16635968</t>
  </si>
  <si>
    <t>2018.08.17</t>
  </si>
  <si>
    <t>20200245238</t>
  </si>
  <si>
    <t>2020.07.30</t>
  </si>
  <si>
    <t>11259244</t>
  </si>
  <si>
    <t>2022.02.22</t>
  </si>
  <si>
    <t>PCT/KR2018/009445</t>
  </si>
  <si>
    <t>20180817</t>
  </si>
  <si>
    <t>WO2019035682</t>
  </si>
  <si>
    <t>2019.02.21</t>
  </si>
  <si>
    <t>Jeongki Kim|Suhwook Kim|Kiseon Ryu|Taewon Song|Jinsoo Choi</t>
  </si>
  <si>
    <t>Method for transmitting or receiving frame in wireless LAN and apparatus therefor</t>
  </si>
  <si>
    <t>A method for an STA for receiving a WUR frame in a WLAN, according to one embodiment of the present invention, comprises the steps of: receiving a WUR frame including a first portion of a TSF timer and an MIC value; calculating an MIC verification value on the basis of the first portion of the TSF timer and the TSF timer stored in the STA; and determining whether to discard the received WUR frame depending on whether the MIC value included in the WUR frame matches the calculated MIC verification value, wherein the first portion of the TSF timer included in the WUR frame is the 8-bits following the least significant N-bit in the TSF timer, and the STA may obtain a continuous 48-bit partial TSF timer value through the first portion of the TSF timer and a second portion of the TSF timer stored in the STA, and may calculate the MIC verification value on the basis of the obtained 48-bit partial TSF timer value.</t>
  </si>
  <si>
    <t>16760824</t>
  </si>
  <si>
    <t>2018.11.01</t>
  </si>
  <si>
    <t>20210227469</t>
  </si>
  <si>
    <t>2021.07.22</t>
  </si>
  <si>
    <t>11184854</t>
  </si>
  <si>
    <t>2021.11.23</t>
  </si>
  <si>
    <t>PCT/KR2018/013179</t>
  </si>
  <si>
    <t>20181101</t>
  </si>
  <si>
    <t>WO2019088732</t>
  </si>
  <si>
    <t>2019.05.09</t>
  </si>
  <si>
    <t>Jeongki Kim|Suhwook Kim|Kiseon Ryu|Taewon Song</t>
  </si>
  <si>
    <t>Method for communication in WLAN system and wireless terminal using the same</t>
  </si>
  <si>
    <t>A method in a wireless local area network (WLAN) system is performed by a first wireless terminal and includes: receiving a wake-up radio (WUR) mode request frame from a second wireless terminal; allocating first identification information for the second wireless terminal, wherein the first identification information is configured based on a value obtained by adding a first value related to a transmitter identifier (TXID) of the first wireless terminal and a second value related to an association identifier (AID) of the second wireless terminal; determining whether the first identification information coincides with pre-allocated one or more pieces of second identification information; reallocating a value randomly selected from among predetermined candidate values to the first identification information; and transmitting a WUR mode response frame including the re-allocated first identification information to the second wireless terminal.</t>
  </si>
  <si>
    <t>16641503</t>
  </si>
  <si>
    <t>20210153126</t>
  </si>
  <si>
    <t>11166236</t>
  </si>
  <si>
    <t>2021.11.02</t>
  </si>
  <si>
    <t>PCT/KR2019/003420</t>
  </si>
  <si>
    <t>WO2020075930</t>
  </si>
  <si>
    <t>Jeongki Kim|Suhwook Kim|Taewon Song|Jinsoo Choi</t>
  </si>
  <si>
    <t>Method for transmitting or receiving wake-up radio frame in wireless LAN system and apparatus therefor</t>
  </si>
  <si>
    <t>A method for transmitting a wake-up radio (WUR) frame by an access point (AP) in a wireless LAN (WLAN) system according to one embodiment of the present invention comprises the steps of: generating a WUR frame including a WUR preamble and a MAC header; and transmitting the WUR frame, wherein the MAC header includes at least one of frame length information, a transmitter ID and a receiver ID, and when the frame length information is included in the MAC header, the frame length information indicates a length of MAC content located after the WUR preamble in the WUR frame, but the length of the MAC header may be excluded from the indicated length of the MAC content.</t>
  </si>
  <si>
    <t>16467025</t>
  </si>
  <si>
    <t>2017.12.06</t>
  </si>
  <si>
    <t>20190281551</t>
  </si>
  <si>
    <t>2019.09.12</t>
  </si>
  <si>
    <t>10849070</t>
  </si>
  <si>
    <t>2020.11.24</t>
  </si>
  <si>
    <t>PCT/KR2017/014220</t>
  </si>
  <si>
    <t>20171206</t>
  </si>
  <si>
    <t>WO2018106006</t>
  </si>
  <si>
    <t>2018.06.14</t>
  </si>
  <si>
    <t>Jeongki Kim|Kiseon Ryu|Hyunhee Park|Suhwook Kim|Hangyu Cho|Jinyoung Chun|Jinsoo Choi|Taewon Song</t>
  </si>
  <si>
    <t>METHOD AND DEVICE FOR RECEIVING DATA IN WIRELESS LAN SYSTEM</t>
  </si>
  <si>
    <t>Provided are a method and device for receiving data in a wireless LAN system. Particularly, an STA transmits an operating band negotiation request frame to an AP by means of a first band supported by first and second RFs. The STA receives an operating band negotiation response frame from the AP by means of the first band as a response to the operating band negotiation request frame. The STA changes the first band supported by the second RF into a second band on the basis of the operating band negotiation request frame and the operating band negotiation response frame. The STA receives first data from the AP by means of the first band supported by the first RF and the second band supported by the second RF. The first data is transmitted by means of a multi-band in which the first band and the second band are combined.</t>
  </si>
  <si>
    <t>A1</t>
  </si>
  <si>
    <t>17275028</t>
  </si>
  <si>
    <t>20220061051</t>
  </si>
  <si>
    <t>2022.02.24</t>
  </si>
  <si>
    <t>PCT/KR2019/012026</t>
  </si>
  <si>
    <t>LG ELECTRONICS INC.|LG ELECTRONICS INC.</t>
  </si>
  <si>
    <t>Taewon SONG|Suhwook KIM|Jeongki KIM|Kiseon RYU|Insun JANG|Jinsoo CHOI</t>
  </si>
  <si>
    <t>METHOD FOR COMMUNICATING IN WIRELESS LAN SYSTEM AND WIRELESS TERMINAL USING SAME</t>
  </si>
  <si>
    <t>The present specification proposes a technical feature related to a wake-up radio (WUR) STA. Specifically, proposed is an operation applied when a WUR STA having a service period (SP) enters a WUR mode. For example, an operation for an SP positioned next to a section in which a wake-up packet (WUP) is transmitted and an operation for an SP positioned after a section in which a WUP is not transmitted may be set to be different from each other. Accordingly, proposed is a technique of efficiently controlling a conventionally negotiated SP in the WUR mode.</t>
  </si>
  <si>
    <t>17042086</t>
  </si>
  <si>
    <t>2019.04.02</t>
  </si>
  <si>
    <t>20210099955</t>
  </si>
  <si>
    <t>PCT/KR2019/003865</t>
  </si>
  <si>
    <t>20190402</t>
  </si>
  <si>
    <t>Suhwook KIM|Jeongki KIM|Kiseon RYU|Taewon SONG|Jinsoo CHOI</t>
  </si>
  <si>
    <t>A method for communicating in a wireless LAN system according to the present embodiment comprises the steps in which: a first wireless terminal transmits an association request frame requesting an association with a second wireless terminal to the second wireless terminal on the basis of a main radio module, wherein the first wireless terminal includes a main radio module for communicating with the second wireless terminal and a WUR module for receiving a wakeup packet modulated by the OOK technique from the second wireless terminal, the association request frame includes operation information for the WUR module, and the operation information includes time information required for the first wireless terminal to transition the main radio module from a doze state to a wake state; and the first wireless terminal receives an association response frame from the second wireless terminal in response to the association request frame.</t>
  </si>
  <si>
    <t>16760024</t>
  </si>
  <si>
    <t>2018.11.02</t>
  </si>
  <si>
    <t>20200351773</t>
  </si>
  <si>
    <t>PCT/KR2018/013251</t>
  </si>
  <si>
    <t>20181102</t>
  </si>
  <si>
    <t>Suhwook KIM|Kiseon RYU|Jeongki KIM|Taewon SONG</t>
  </si>
  <si>
    <t>CHANNEL SWITCHING FOR C-OFDMA TRANSMISSION IN MULTI-AP SYSTEM</t>
  </si>
  <si>
    <t>The present disclosure is related to a sharing access point (AP) and a shared AP in a wireless Local Area Network (LAN). A method performed by the sharing AP may comprise the steps of: allocating a first channel to first and second stations (STAs), wherein the shared AP is associated with the first and second STAs; receiving, from a sharing AP, an allocation of a second channel for transmission of coordinated orthogonal frequency division multiplexing access (C-OFDMA); and transmitting a channel switching signal that requests channel switching from the first channel to the second channel, wherein the channel switching signal is only transmitted to the first STA participating in the C-OFDMA, but not to the second STA not participating in the C-OFDMA.</t>
  </si>
  <si>
    <t>17791863</t>
  </si>
  <si>
    <t>2020.09.25</t>
  </si>
  <si>
    <t>20230103807</t>
  </si>
  <si>
    <t>2023.04.06</t>
  </si>
  <si>
    <t>PCT/KR2020/013037</t>
  </si>
  <si>
    <t>20200925</t>
  </si>
  <si>
    <t>Sungjin PARK|Jeongki KIM|Jinsoo CHOI|Suhwook KIM|Namyeong KIM|Taewon SONG|Insun JANG</t>
  </si>
  <si>
    <t>SIGNALING FOR MULTI-LINK TRANSMISSION</t>
  </si>
  <si>
    <t>17791867</t>
  </si>
  <si>
    <t>2021.01.08</t>
  </si>
  <si>
    <t>20230164859</t>
  </si>
  <si>
    <t>PCT/KR2021/000273</t>
  </si>
  <si>
    <t>20210108</t>
  </si>
  <si>
    <t>Insun JANG|Jeongki KIM|Jinsoo CHOI|Suhwook KIM|Namyeong KIM|Sungjin PARK|Taewon SONG</t>
  </si>
  <si>
    <t>TECHNIQUE FOR PERFORMING MULTI-LINK COMMUNICATION IN WIRELESS COMMUNICATION SYSTEM</t>
  </si>
  <si>
    <t>According to various embodiments, a multi-link device (MLD) operating in a plurality of links may transmit a first request frame for requesting information on the plurality of links. The multi-link device may receive a first response frame on the basis of the first request frame. The first response frame may include information on a ratio of stations (STAs) using a first link as an anchor link, and information on a ratio of STAs using a second link as an anchor link.</t>
  </si>
  <si>
    <t>17800107</t>
  </si>
  <si>
    <t>20240237098</t>
  </si>
  <si>
    <t>2024.07.11</t>
  </si>
  <si>
    <t>PCT/KR2021/002078</t>
  </si>
  <si>
    <t>20210218</t>
  </si>
  <si>
    <t>METHOD FOR PERFORMING MULTI-LINK COMMUNICATION IN WIRELESS COMMUNICATION SYSTEM</t>
  </si>
  <si>
    <t>According to various embodiments, a multi-link device (MLD) operating in a plurality of links including a first link can transmit a request frame to a first AP of an AP MLD through a first STA (station), wherein the request frame includes an information field for requesting every element included in an element set designated for a second link. The MLD can, on the basis of the request frame, receive every element included in the element set designated for the second link.</t>
  </si>
  <si>
    <t>17908794</t>
  </si>
  <si>
    <t>2021.03.04</t>
  </si>
  <si>
    <t>20230103810</t>
  </si>
  <si>
    <t>PCT/KR2021/002686</t>
  </si>
  <si>
    <t>20210304</t>
  </si>
  <si>
    <t>MULTI-LINK RTS AND CTS TRANSMISSIONS</t>
  </si>
  <si>
    <t>In a wireless local area network system. a reception multi-link device (MLD) may not transmit a CTS frame, even if the reception multi-link device receives an RTS frame via a second link, in the case that an STA operating via a first link is a TXOP responder.</t>
  </si>
  <si>
    <t>18887868</t>
  </si>
  <si>
    <t>2024.09.17</t>
  </si>
  <si>
    <t>20250016831</t>
  </si>
  <si>
    <t>2025.01.09</t>
  </si>
  <si>
    <t>Insun JANG|Jeongki KIM|Jinsoo CHOI|Namyeong KIM|Suhwook KIM|Sungjin PARK|Taewon SONG</t>
  </si>
  <si>
    <t>CHANNEL ACCESS IN MULTI-LINK</t>
  </si>
  <si>
    <t>18761869</t>
  </si>
  <si>
    <t>2024.07.02</t>
  </si>
  <si>
    <t>20240357640</t>
  </si>
  <si>
    <t>2024.10.24</t>
  </si>
  <si>
    <t>According to various embodiments, a multi-link device operating in a plurality of links can transmit, via a first link, a request frame for changing the first link from among the plurality of links to a second link not included in the plurality of links. The multi-link device can receive a response frame via the first link on the basis of the request frame. The multi-link device can change the first link to the second link on the basis of the response frame.</t>
  </si>
  <si>
    <t>17905755</t>
  </si>
  <si>
    <t>2021.03.11</t>
  </si>
  <si>
    <t>20230115361</t>
  </si>
  <si>
    <t>2023.04.13</t>
  </si>
  <si>
    <t>PCT/KR2021/003035</t>
  </si>
  <si>
    <t>20210311</t>
  </si>
  <si>
    <t>Namyeong KIM|Jeongki KIM|Jinsoo CHOI|Sungjin PARK|Taewon SONG|Insun JANG</t>
  </si>
  <si>
    <t>According to various embodiments, a multi-link device (MLD) comprising a first STA and a second STA may perform the steps of: receiving, from an access point (AP) via the first STA operating in a first link, network allocation vector (NAV) time information about the second STA operating in a second link, wherein, when the NAV time information about the second STA is received, the second STA operates in a doze state; identifying that the state of the second STA is changed from the doze state to an awake state; and setting an NAV time for the second STA, on the basis of the NAV time information about the second STA.</t>
  </si>
  <si>
    <t>17915825</t>
  </si>
  <si>
    <t>2021.04.02</t>
  </si>
  <si>
    <t>20230156606</t>
  </si>
  <si>
    <t>2023.05.18</t>
  </si>
  <si>
    <t>PCT/KR2021/004143</t>
  </si>
  <si>
    <t>20210402</t>
  </si>
  <si>
    <t>According to various embodiments, a multi-link device including a first STA and a second STA may receive a first PPDU by means of the first STA. The PPDU may include information about traffic buffered in the second STA operating in a second link. In response to the first PPDU, the multi-link device may change the second STA from a doze state to an awake state, and transmit information about the state of the second STA by means of the second STA.</t>
  </si>
  <si>
    <t>17758378</t>
  </si>
  <si>
    <t>2021.01.11</t>
  </si>
  <si>
    <t>20230146451</t>
  </si>
  <si>
    <t>2023.05.11</t>
  </si>
  <si>
    <t>PCT/KR2021/000315</t>
  </si>
  <si>
    <t>20210111</t>
  </si>
  <si>
    <t>Namyeong KIM|Jeongki KIM|Jinsoo CHOI|Suhwook KIM|Sungjin PARK|Taewon SONG|Insun JANG</t>
  </si>
  <si>
    <t>TRANSMISSION OF CAPABILITY INFORMATION ABOUT LINK</t>
  </si>
  <si>
    <t>18604315</t>
  </si>
  <si>
    <t>2024.03.13</t>
  </si>
  <si>
    <t>20240224124</t>
  </si>
  <si>
    <t>2024.07.04</t>
  </si>
  <si>
    <t>MULTI-LINK ERROR RECOVERY</t>
  </si>
  <si>
    <t>The present disclosure proposes a transmitting multi-link device (MLD) including a first station (STA) operating on a first link and a second STA operating on a second link. The transmitting MLD acquires a first transmission opportunity (TXOP) in the first link and transmits a first physical protocol data unit (PPDU) in the first link. The transmitting MLD receives a block acknowledgment (BA) frame for the first PPDU in the first link and transmits a second PPDU in the first link. The transmitting MLD changes a responder of the first TXOP based on not receiving, from the receiving MLD, a BA frame for the second PPDU within a preconfigured time interval in the first link.</t>
  </si>
  <si>
    <t>17916987</t>
  </si>
  <si>
    <t>20230164840</t>
  </si>
  <si>
    <t>PCT/KR2021/003344</t>
  </si>
  <si>
    <t>20210318</t>
  </si>
  <si>
    <t>Insun JANG|Jeongki KIM|Jinsoo CHOI|Namyeong KIM|Sungjin PARK|Taewon SONG</t>
  </si>
  <si>
    <t>LINK DEACTIVATION IN MULTI-LINK</t>
  </si>
  <si>
    <t>In a Wireless Local Area Network system, a reception device can receive information about link deactivation, and deactivate a link. The proposed method includes receiving a physical protocol data unit (PPDU) including a first control field in a first link. In the method, the first control field may include information related to disablement of the first link and information on a time point at which the first link is disabled. The proposed method further includes disabling the first link based on the first control field.</t>
  </si>
  <si>
    <t>17755291</t>
  </si>
  <si>
    <t>20220377839</t>
  </si>
  <si>
    <t>2022.11.24</t>
  </si>
  <si>
    <t>PCT/KR2020/014772</t>
  </si>
  <si>
    <t>Insun JANG|Jeongki KIM|Jinsoo CHOI|Suhwook KIM|Sungjin PARK|Taewon SONG</t>
  </si>
  <si>
    <t>TDMA TRANSMISSION IN MULTI-AP ENVIRONMENT</t>
  </si>
  <si>
    <t>In a wireless local area network (wireless LAN) system, a sharing AP may allocate a time interval in which each AP performs transmission/reception. STAs belonging to a BSS of each AP may operate in a power saving mode in time intervals not allocated to the BSS of the STAs.</t>
  </si>
  <si>
    <t>17916971</t>
  </si>
  <si>
    <t>20230164695</t>
  </si>
  <si>
    <t>PCT/KR2021/000266</t>
  </si>
  <si>
    <t>Sungjin PARK|Jeongki KIM|Jinsoo CHOI|Namyeong KIM|Taewon SONG|Insun JANG</t>
  </si>
  <si>
    <t>According to various embodiments, a multi-link device including a first STA and a second STA may receive, via the first STA, at least one PPDU within a transmission opportunity (TXOP) configured in a first link. While the at least one PPDU is received, the state of the second STA may be set to a doze state. The multi-link device may receive, via the first STA, a first control frame for the truncation of the TXOP. The multi-link device may change the state of the second STA from the doze state to an awake state on the basis of the first control frame.</t>
  </si>
  <si>
    <t>17782141</t>
  </si>
  <si>
    <t>2020.12.02</t>
  </si>
  <si>
    <t>20230036253</t>
  </si>
  <si>
    <t>2023.02.02</t>
  </si>
  <si>
    <t>PCT/KR2020/017458</t>
  </si>
  <si>
    <t>20201202</t>
  </si>
  <si>
    <t>MULTI-LINK AGGREGATION</t>
  </si>
  <si>
    <t>A multi-link device (MLD) in a wireless local area network (WLAN) system is proposed. The MLD may include an access point (AP) MLD. The AP MLD may receive receiving, from a non-simultaneous transmit and receive (Non-STR) station (STA) MLD, a multilink aggregation request signal through a first link. The multilink aggregation request signal may include first information related to a second link for which aggregation is requested and second information related to a transmission opportunity (TXOP) to be set in the second link. The AP MLD may obtain the TXOP based on the second information in the second link. The AP MLD may transmit, to the Non-STR STA MLD, a first multilink aggregation response signal through the first link and a second multilink aggregation response signal through the second link.</t>
  </si>
  <si>
    <t>17796223</t>
  </si>
  <si>
    <t>20230120236</t>
  </si>
  <si>
    <t>2023.04.20</t>
  </si>
  <si>
    <t>PCT/KR2021/001217</t>
  </si>
  <si>
    <t>20210129</t>
  </si>
  <si>
    <t>According to various embodiments, a multi-link device (MLD) may transmit, to an access point (AP), a request frame for activating a power saving mechanism (PSM). The multi-link device may receive a response frame for activating the PSM. The multi-link device may activate the PSM in at least one of a first link or the second link on the basis of the response frame.</t>
  </si>
  <si>
    <t>17792118</t>
  </si>
  <si>
    <t>20230062989</t>
  </si>
  <si>
    <t>2023.03.02</t>
  </si>
  <si>
    <t>PCT/KR2021/000316</t>
  </si>
  <si>
    <t>LOAD INFORMATION FOR LOAD BALANCING IN MULTI-LINK</t>
  </si>
  <si>
    <t>In a wireless local area network (WLAN) system, an access point (AP) multi-link device (MLD) may include a first AP and a second AP, the first AP may operate in a first link, and the second AP may operate in a second link. A station (STA) MLD may receive BSS information related to the first and second links, in which the AP MLD operates, from the AP MLD through the first link. The BSS information may include information related to the number of single radio STAs operating in the first link and the number of single radio STAs operating in the second link. The STA MLD may determine a link, in which the STA MLD is to operate, on the basis of the BSS information.</t>
  </si>
  <si>
    <t>17924274</t>
  </si>
  <si>
    <t>20230189071</t>
  </si>
  <si>
    <t>PCT/KR2021/005662</t>
  </si>
  <si>
    <t>20210506</t>
  </si>
  <si>
    <t>TRANSMISSION OF BUFFER INFORMATION FOR MULTI-LINK OPERATION</t>
  </si>
  <si>
    <t>An STA MLD can receive traffic indication map (TIM) information from an access point (AP) MLD in a wireless local area network (LAN) system. The TIM information can include a TIM bitmap and a link bitmap. The TIM bitmap includes a bitmap related to whether data to be transmitted by the AP MLD to each receiving MLD is present, and the receiving MLD can include the STA MLD. The link bitmap can include information related to a link of the receiving MLD, in which the data to be transmitted by the AP MLD is present, from among the receiving MLDs. The STA MLD can receive wake-up link information from the AP MLD. The wake-up link information can include information related to a link to be woken up from among links of the STA MLD.</t>
  </si>
  <si>
    <t>17928518</t>
  </si>
  <si>
    <t>2021.06.01</t>
  </si>
  <si>
    <t>20230098436</t>
  </si>
  <si>
    <t>2023.03.30</t>
  </si>
  <si>
    <t>PCT/KR2021/006784</t>
  </si>
  <si>
    <t>20210601</t>
  </si>
  <si>
    <t>Insun JANG|Jeongki KIM|Jinsoo CHOI|Namyeong KIM|Taewon SONG</t>
  </si>
  <si>
    <t>METHOD AND DEVICE FOR OBTAINING CRITICAL UPDATE INFORMATION BETWEEN MLDS IN WIRELESS LAN SYSTEM</t>
  </si>
  <si>
    <t>Proposed are a method and a device for obtaining critical update information between MLDs in a wireless LAN system. Specifically, a reception MLD transmits a probe request frame to a transmission MLD through a first link. The reception MLD receives a probe response frame from the transmission MLD through the first link. The transmission MLD comprises a first transmission STA operating in the first link and a second transmission STA operating in a second link. The probe request frame comprises a change sequence element which requests critical update information of the second transmission STA. The probe response frame comprises the critical update information of the second transmission STA.</t>
  </si>
  <si>
    <t>17927977</t>
  </si>
  <si>
    <t>2021.06.09</t>
  </si>
  <si>
    <t>20230217271</t>
  </si>
  <si>
    <t>PCT/KR2021/007226</t>
  </si>
  <si>
    <t>20210609</t>
  </si>
  <si>
    <t>Namyeong KIM|Jeongki KIM|Jinsoo CHOI|Taewon SONG|Insun JANG</t>
  </si>
  <si>
    <t>METHOD AND APPARATUS FOR PERFORMING LINK RECONFIGURATION BETWEEN MLDS IN WIRELESS LAN SYSTEM</t>
  </si>
  <si>
    <t>Proposed are a method and apparatus for performing, by reception MLD, link reconfiguration with transmission MLD, in a wireless LAN system. In detail, the reception MLD transmits a link change request frame to the transmission MLD via a first link. The reception MLD receives a link change response frame from the transmission MLD via the first link. The reception MLD configures a second link with the transmission MLD, on the basis of the link change response frame. The transmission MLD comprises a first transmission STA operating in the first link and a second transmission STA operating in the second link. The reception MLD comprises a first reception STA having a link changed from the first link to the second link. The link change response frame comprises information about the first and second links. The information about the second link is updated. The information about the first link is maintained without being reset or deleted.</t>
  </si>
  <si>
    <t>18009693</t>
  </si>
  <si>
    <t>2021.06.04</t>
  </si>
  <si>
    <t>20230224996</t>
  </si>
  <si>
    <t>2023.07.13</t>
  </si>
  <si>
    <t>PCT/KR2021/007037</t>
  </si>
  <si>
    <t>20210604</t>
  </si>
  <si>
    <t>REUSE OF SPACE IN MULTI-AP SYSTEM</t>
  </si>
  <si>
    <t>A method performed by a sharing access point (AP) of a wireless local area network (LAN) system may comprise the steps of: transmitting, to a shared AP, a first station (STA) list and a first measurement notification frame which requests measurement of received signal strength indicators (RSSIs) of signals transmitted from first STAs included in the first STA list; transmitting, to each of the first STAs, a request frame which requests information related to transmission power of the signals transmitted by the first STAs; receiving a report frame including the information related to the transmission power from each of the first STAs; transmitting a multi-AP transmission trigger frame to the shared AP; and transmitting data to each of the first STAs.</t>
  </si>
  <si>
    <t>17802907</t>
  </si>
  <si>
    <t>2021.01.04</t>
  </si>
  <si>
    <t>20230093547</t>
  </si>
  <si>
    <t>2023.03.23</t>
  </si>
  <si>
    <t>PCT/KR2021/000007</t>
  </si>
  <si>
    <t>20210104</t>
  </si>
  <si>
    <t>According to various embodiments, a multi-link device (MLD) operating in a plurality of links may receive information regarding a plurality of groups into which the plurality of links are classified. The information regarding the plurality of groups may include information regarding IDs allocated to the plurality of groups and information regarding power saving (PS) intervals allocated to the plurality of groups. The multi-link device may change, on the basis of the information regarding the plurality of groups, at least one STA included in the multi-link device to be in a doze state.</t>
  </si>
  <si>
    <t>17798517</t>
  </si>
  <si>
    <t>2021.02.10</t>
  </si>
  <si>
    <t>20230083599</t>
  </si>
  <si>
    <t>2023.03.16</t>
  </si>
  <si>
    <t>PCT/KR2021/001825</t>
  </si>
  <si>
    <t>20210210</t>
  </si>
  <si>
    <t>MULTI-LINK CHANNEL ACCESS</t>
  </si>
  <si>
    <t>In a wireless local area network (WLAN) system, in a case where data is being transmitted through a link, a transmission multi-link device (MLD) may perform back-off through another link during a time interval in which a PPDU is not transmitted through the link for the data transmission. Further, the transmission MLD may perform back-off again if a TXOP of the link for the data transmission is not over when a BC becomes 0.</t>
  </si>
  <si>
    <t>17918541</t>
  </si>
  <si>
    <t>20230164842</t>
  </si>
  <si>
    <t>PCT/KR2021/003341</t>
  </si>
  <si>
    <t>MEASUREMENT FOR SPACE REUSE IN MULTI-AP SYSTEM</t>
  </si>
  <si>
    <t>A method performed at a sharing access point (AP) of a wireless local area network (LAN) system may comprise the steps of: transmitting, to a first station (STA), a first measurement notification frame requesting measurement of a received signal strength indicator (RSSI); transmitting, to the first STA, a first measurement request frame for requesting a first path loss value which is path loss information of an overlapping basic service set (OBSS) AP andthe first STA and an acceptable receiver interference level (ARIL) value; receiving, from the first STA, a first measurement report frame including the first path loss and a first ARIL value of the first STA; and transmitting, to the first STA, first data.</t>
  </si>
  <si>
    <t>17801712</t>
  </si>
  <si>
    <t>20230164700</t>
  </si>
  <si>
    <t>PCT/KR2020/018882</t>
  </si>
  <si>
    <t>Sungjin Park|Jeongki Kim|Jinsoo Choi|Namyeong Kim|Taewon Song|Insun Jang</t>
  </si>
  <si>
    <t>METHOD AND DEVICE FOR ACQUIRING INFORMATION ON LINKS BETWEEN MLDS IN WIRELESS LAN SYSTEM</t>
  </si>
  <si>
    <t>Proposed are a method and device for acquiring information on links between MLDs in a wireless LAN system. Specifically, a receiving MLD transmits a probe request frame to a transmitting MLD through a first link. The receiving MLD receives a probe response fr ame from the transmitting MLD through the first link. The transmitting MLD comprises: a first transmitting STA operating in the first link; a second transmitting STA operating in a second link; and a third transmitting STA operating in a third link. The receiving MLD comprises a first receiving STA operating in the first link. When the first receiving STA requests for information on the second and third links, the probe request frame includes link identifiers for the second and third links. When the first receiving STA requests for information on all the links, the probe request frame does not include link identifiers for all the links.</t>
  </si>
  <si>
    <t>18025172</t>
  </si>
  <si>
    <t>2021.09.07</t>
  </si>
  <si>
    <t>20230328818</t>
  </si>
  <si>
    <t>PCT/KR2021/012103</t>
  </si>
  <si>
    <t>20210907</t>
  </si>
  <si>
    <t>CAPABILITY NEGOTIATION IN MULTILINK</t>
  </si>
  <si>
    <t>In a wireless local area network (LAN) system, a station (STA) receives, from an access point (AP), channel information related to a multilink, and the channel information may include link identifier information of a plurality of links included in the multilink. The STA transmits, to the AP, link selection information on the basis of the channel information, and the link selection information may include information related to whether the STA can use each of the plurality of links, and information related to whether the STA uses each of the plurality of links for data transmission.</t>
  </si>
  <si>
    <t>17626641</t>
  </si>
  <si>
    <t>20220240333</t>
  </si>
  <si>
    <t>2022.07.28</t>
  </si>
  <si>
    <t>PCT/KR2020/008057</t>
  </si>
  <si>
    <t>TECHNIQUE FOR PERFORMING MULTILINK COMMUNICATION IN WIRELESS COMMUNICATION SYSTEM</t>
  </si>
  <si>
    <t>According to various embodiments, a multi-link device (MLD) including a first STA and a second STA can receive a DL PPDU through a first link. The multi-link device can set the state of the second STA to be a doze state during the duration of the DL PPDU. The multi-link device can transmit an ACK frame through the first link in response to the DL PPDU. The multilink device can set the state of the second STA to be an awake state during the duration of the ACK frame.</t>
  </si>
  <si>
    <t>17756751</t>
  </si>
  <si>
    <t>20220418019</t>
  </si>
  <si>
    <t>2022.12.29</t>
  </si>
  <si>
    <t>PCT/KR2020/017460</t>
  </si>
  <si>
    <t>According to various embodiments, a multi-link device (MLD) may transmit, to an AP, a request frame for changing a primary link. On the basis of the request frame, the MLD may receive a response frame from the AP. On the basis of the response frame, the MLD may determine whether to change the primary link.</t>
  </si>
  <si>
    <t>17781698</t>
  </si>
  <si>
    <t>20230007535</t>
  </si>
  <si>
    <t>2023.01.05</t>
  </si>
  <si>
    <t>PCT/KR2020/017459</t>
  </si>
  <si>
    <t>Namyeong KIM|Jeongki KIM|Jinsoo CHOI|Suhwook KIM|Sungjin PARK|Taewon SONG|Insung JANG</t>
  </si>
  <si>
    <t>MULTI-LINK OPERATION MODE</t>
  </si>
  <si>
    <t>In a wireless local area network (WLAN) system, a station (STA) may support a multi-link. The STA may generate a PDDU including operation mode information on whether transmission of a signal and reception of a signal can be performed simultaneously. The STA may transmit the PPDU.</t>
  </si>
  <si>
    <t>17622742</t>
  </si>
  <si>
    <t>20220167444</t>
  </si>
  <si>
    <t>PCT/KR2020/008065</t>
  </si>
  <si>
    <t>TRIGGER-BASED DATA TRANSMISSION</t>
  </si>
  <si>
    <t>In a wireless local area network (WLAN) system, an STA performs CCA on resources allocated thereto via a trigger frame from an AP and can transmit a TB PPDU via an idle channel among the allocated resources on the basis of the result of the CCA, wherein the PHY of the TB PPDU may include information about the result of the CCA.</t>
  </si>
  <si>
    <t>17760482</t>
  </si>
  <si>
    <t>2021.02.09</t>
  </si>
  <si>
    <t>20230081649</t>
  </si>
  <si>
    <t>PCT/KR2021/001692</t>
  </si>
  <si>
    <t>20210209</t>
  </si>
  <si>
    <t>MULTI-LINK SETUP IN WIRELESS COMMUNICATION SYSTEM</t>
  </si>
  <si>
    <t>In a wireless local area network (WLAN) system, an STA MLD may include a first STA and a second STA, wherein the first STA operates on a first link, and the second STA operates on a second link. The STA MLD may transmit an association request frame to an access point (AP) MLD. The association request frame may include capability information of a requesting STA, which requests to be associated with the AP MLD, among STAs included in the STA MLD and information related to a request link, to with which a request to be associated is transmitted by the requesting STAs. The STA MLD may receive an association response frame from the AP MLD. The association response frame may include capability information of an AP that operates in a link, an association with which is accepted by the AP MLD, among the request links.</t>
  </si>
  <si>
    <t>18015270</t>
  </si>
  <si>
    <t>2021.07.07</t>
  </si>
  <si>
    <t>20230262804</t>
  </si>
  <si>
    <t>2023.08.17</t>
  </si>
  <si>
    <t>PCT/KR2021/008661</t>
  </si>
  <si>
    <t>20210707</t>
  </si>
  <si>
    <t>Insun JANG|Jeongki KIM|Jinsoo CHOI|Namyeong KIM|Taewon SONG|Sunhee BAEK</t>
  </si>
  <si>
    <t>18221599</t>
  </si>
  <si>
    <t>20230363030</t>
  </si>
  <si>
    <t>2023.11.09</t>
  </si>
  <si>
    <t>17774839</t>
  </si>
  <si>
    <t>2020.11.04</t>
  </si>
  <si>
    <t>20220394756</t>
  </si>
  <si>
    <t>PCT/KR2020/015340</t>
  </si>
  <si>
    <t>20201104</t>
  </si>
  <si>
    <t>HARQ OPERATIONS AT PHY LAYER LEVEL</t>
  </si>
  <si>
    <t>An AP and a STA can perform a PHY-level HARQ operation in a wireless local area network system, and the AP can transmit resource allocation information about a PHY-level feedback frame to be transmitted by a plurality of STAs. The AP can receive a plurality of HARQ feedback frames from a plurality of STAs. The plurality of HARQ feedback frames are PHY layer signals. The resource allocation information can include information related to a tone set and a symbol from which transmission of the plurality of HARQ feedback frames are started.</t>
  </si>
  <si>
    <t>17762665</t>
  </si>
  <si>
    <t>2020.08.26</t>
  </si>
  <si>
    <t>20220416983</t>
  </si>
  <si>
    <t>PCT/KR2020/011417</t>
  </si>
  <si>
    <t>20200826</t>
  </si>
  <si>
    <t>Taewon Song|Jeongki Kim|Jinsoo Choi|Suhwook Kim|Jinmin Kim|Sungjin Park|Insun Jang</t>
  </si>
  <si>
    <t>ACK TRANSMISSION USING MULTI-LINK</t>
  </si>
  <si>
    <t>In a wireless local area network, a reception station (STA) may receive, from a transmission STA, a first signal via a first link and a second signal via a second link. The reception STA may transmit, to the transmission STA via the second link, a response signal associated with whether the first and second signals are to be received. The response signal may include a first field associated with the feature of the response signal including responses with respect to whether a plurality of signals transmitted via a plurality of links are to be received.</t>
  </si>
  <si>
    <t>17595340</t>
  </si>
  <si>
    <t>2020.05.21</t>
  </si>
  <si>
    <t>20220312521</t>
  </si>
  <si>
    <t>PCT/KR2020/006618</t>
  </si>
  <si>
    <t>20200521</t>
  </si>
  <si>
    <t>DYNAMIC CONFIGURATION OF MULTI-LINK FUNCTION IN WIRELESS LAN SYSTEM</t>
  </si>
  <si>
    <t>In a wireless local area network (LAN) system, a transmission MLD may comprise a first station (STA) and a second station (STA), wherein the first STA operates in a first link, and the second STA operates in a second link. The transmission MLD may transmit a connection request frame to a reception MLD. The connection request frame may comprise capability information related to whether a restricted basic service set (BSS) mode is supported and information related to use of the restricted BSS mode. The information related to the use of the restricted BSS mode may comprise first information related to an STA which operates in the restricted BSS mode, among STAs included in the transmission MLD. The restricted BSS mode may mean a mode in which monitoring for signal reception is performed on the basis of acquisition of information, from an STA not operating in the restricted BSS mode, by the STA operating in the restricted BSS, the information indicating reception of a signal. The transmission MLD may receive a connection response frame from the reception MLD.</t>
  </si>
  <si>
    <t>18013120</t>
  </si>
  <si>
    <t>2021.06.29</t>
  </si>
  <si>
    <t>20230254802</t>
  </si>
  <si>
    <t>2023.08.10</t>
  </si>
  <si>
    <t>PCT/KR2021/008181</t>
  </si>
  <si>
    <t>20210629</t>
  </si>
  <si>
    <t>DYNAMIC CONFIGURATION OF MULTILINK FUNCTION IN WIRELESS LAN SYSTEM</t>
  </si>
  <si>
    <t>In a wireless local area network (LAN) system, a station (STA) can receive, from an access point (AP), a physical protocol data unit (PPDU) including basic service set (BSS) load information. The BSS load information can include information related to the number of STAs associated with a BSS of the AP and the number of enabled STAs from among the STAs associated with the BSS of the AP. The STAs can decode the PPDU. The STAs associated with the BSS of the AP can include enabled STAs and disabled STAs. The disabled STAs can include STAs operating in links to which no traffic identifier (TID) is mapped. Links in which the enabled STAs operate can include links to which at least one traffic identifier (TID) is mapped.</t>
  </si>
  <si>
    <t>18016073</t>
  </si>
  <si>
    <t>2021.07.14</t>
  </si>
  <si>
    <t>20230337293</t>
  </si>
  <si>
    <t>PCT/KR2021/009038</t>
  </si>
  <si>
    <t>20210714</t>
  </si>
  <si>
    <t>18243610</t>
  </si>
  <si>
    <t>2023.09.07</t>
  </si>
  <si>
    <t>20230422328</t>
  </si>
  <si>
    <t>2023.12.28</t>
  </si>
  <si>
    <t>POWER SAVING IN NSTR ENVIRONMENT</t>
  </si>
  <si>
    <t>In a wireless local area network system, a transmission MLD may comprise a first station (STA) and a second STA, wherein the first STA operates on a first link and the second STA operates on a second link. The transmission MLD may transmit, to a reception MLD, capability information regarding whether power saving is supported. The power saving may be performed by one method among first to third power saving methods. The transmission MLD may transmit, to the reception MLD, a control frame comprising method information regarding which method among the first to third power saving methods is to be used.</t>
  </si>
  <si>
    <t>17928231</t>
  </si>
  <si>
    <t>2021.05.11</t>
  </si>
  <si>
    <t>20230224814</t>
  </si>
  <si>
    <t>PCT/KR2021/005885</t>
  </si>
  <si>
    <t>20210511</t>
  </si>
  <si>
    <t>According to various embodiments, a multi-link device (MLD) operating on a plurality of links may perform the steps of: determining a condition for transmitting second link-associated information via a first link among the plurality of links; determining whether or not the second link-associated information has changed; and on the basis of the second link-associated information being changed, transmitting the changed second link-associated information via the first link.</t>
  </si>
  <si>
    <t>17913641</t>
  </si>
  <si>
    <t>2021.03.25</t>
  </si>
  <si>
    <t>20230156578</t>
  </si>
  <si>
    <t>PCT/KR2021/003704</t>
  </si>
  <si>
    <t>20210325</t>
  </si>
  <si>
    <t>MULTI-LINK EDCA INFORMATION SHARING</t>
  </si>
  <si>
    <t>In a wireless local area network (WLAN) system, an AP multi-link device (MLD) may estimate an uplink transmission time of a non-simultaneous transmit and receive (STR) station (STA) MLD, and on the basis of the time estimation, uplink transmission and downlink transmission in links of the non-STR STA MLD may not overlap.</t>
  </si>
  <si>
    <t>17798545</t>
  </si>
  <si>
    <t>2021.02.08</t>
  </si>
  <si>
    <t>20230128479</t>
  </si>
  <si>
    <t>2023.04.27</t>
  </si>
  <si>
    <t>PCT/KR2021/001616</t>
  </si>
  <si>
    <t>20210208</t>
  </si>
  <si>
    <t>TRANSMISSION POWER IN MULTI-AP TRANSMISSION USING SPACE REUSE</t>
  </si>
  <si>
    <t>In a wireless local area network (LAN) system, a shared AP may determine PPDU transmission power to be transmitted to an STA on the basis of an ARIL of the STA, transmission power of a signal transmitted to the STA by a sharing AP, and an RSSI of a signal received from the sharing AP by the STA.</t>
  </si>
  <si>
    <t>17908092</t>
  </si>
  <si>
    <t>20230105964</t>
  </si>
  <si>
    <t>PCT/KR2021/000194</t>
  </si>
  <si>
    <t>20210107</t>
  </si>
  <si>
    <t>In a wireless local area network system, a reception multi-link device (MLD) may not transmit a CTS frame, even if the reception multi-link device receives an RTS frame via a second link, in the case that an STA operating via a first link is a TXOP responder.</t>
  </si>
  <si>
    <t>17800174</t>
  </si>
  <si>
    <t>2020.12.18</t>
  </si>
  <si>
    <t>20230073114</t>
  </si>
  <si>
    <t>2023.03.09</t>
  </si>
  <si>
    <t>PCT/KR2020/018689</t>
  </si>
  <si>
    <t>20201218</t>
  </si>
  <si>
    <t>ACQUISITION OF IMPORTANT INFORMATION IN POWER-SAVING MODE</t>
  </si>
  <si>
    <t>In a Wireless Local Area Network system, an STA MLD may include a first STA and a second STA, and an access point (AP) MLD may include a first AP and a second AP. The first STA and the first AP operate over a first link, the second STA and the second AP operate over a second link, and the second STA may be in a doze state. The first STA may receive, through the first link, a notice frame including information related to a critical update that has occurred in the second AP. The second STA may acquire, from the first STA, information related to the critical update. The notice frame may include a management frame.</t>
  </si>
  <si>
    <t>18018457</t>
  </si>
  <si>
    <t>20230354187</t>
  </si>
  <si>
    <t>PCT/KR2021/009467</t>
  </si>
  <si>
    <t>20210722</t>
  </si>
  <si>
    <t>DATA SHARING IN MULTI-AP SYSTEM</t>
  </si>
  <si>
    <t>In a wireless local area network system, a shared AP may receive an announcement frame and a data frame from a sharing AP for multi-AP transmission. In the present disclosure, the announcement frame may be transmitted in a broadcasting scheme. The data field of the announcement frame may include an identifier (ID) of the shared AP. The shared AP may receive a data frame from the sharing AP. In the present disclosure, a receiver address (RA) field of the data frame may include an address of the sharing AP. The shared AP may decode the data frame based on the address of the sharing AP included in the RA field of the data frame.</t>
  </si>
  <si>
    <t>17640795</t>
  </si>
  <si>
    <t>2020.08.06</t>
  </si>
  <si>
    <t>20220346062</t>
  </si>
  <si>
    <t>PCT/KR2020/010383</t>
  </si>
  <si>
    <t>20200806</t>
  </si>
  <si>
    <t>Sungjin PARK|Jeongki KIM|Jinsoo CHOI|Suhwook KIM|Taewon SONG|Insun JANG</t>
  </si>
  <si>
    <t>HARQ OPERATION AT PHY LAYER LEVEL</t>
  </si>
  <si>
    <t>The present invention relates to a method for an HARQ operation at a PHY layer level in a wireless LAN system or an apparatus for performing same. The method is characterized in receiving, from a transmission STA, a PPDU including a receiver ID which is a PHY layer signal, performing an error check on the PPDU, on the basis of the error check, transmitting an HARQ feedback frame which is a PHY layer signal, and receiving a retransmission PPDU.</t>
  </si>
  <si>
    <t>17753204</t>
  </si>
  <si>
    <t>2020.08.19</t>
  </si>
  <si>
    <t>20220286228</t>
  </si>
  <si>
    <t>2022.09.08</t>
  </si>
  <si>
    <t>PCT/KR2020/011048</t>
  </si>
  <si>
    <t>20200819</t>
  </si>
  <si>
    <t>Taewon SONG|Jeongki KIM|Jinsoo CHOI|Suhwook KIM|Jinmin KIM|Sungjin PARK|Insun JANG</t>
  </si>
  <si>
    <t>RESUMPTION OF PHY-LEVEL HARQ OPERATION</t>
  </si>
  <si>
    <t>The present specification proposes a method for resuming a PHY-level HARQ operation in a wireless local area network (WLAN) system. The method may include transmitting a resume signal including information related to resumption of hybrid automatic repeat request (HARQ) retransmission. The method may include transmitting a physical protocol data unit (PPDU) after transmitting the resume signal. The PPDU and the resume signal may be transmitted in different transmission opportunities (TXOPs).</t>
  </si>
  <si>
    <t>17634196</t>
  </si>
  <si>
    <t>2020.07.28</t>
  </si>
  <si>
    <t>20220294564</t>
  </si>
  <si>
    <t>2022.09.15</t>
  </si>
  <si>
    <t>PCT/KR2020/009936</t>
  </si>
  <si>
    <t>20200728</t>
  </si>
  <si>
    <t>SHARED AP SELECTION IN MULTI-AP SYSTEM</t>
  </si>
  <si>
    <t>In a wireless local area network (LAN) system, a sharing access point (AP): receives, from a first AP, basic service set (BSS) information of the first AP; receives, from a second AP, BSS information of the second AP; receives, from a station (STA), a link report signal including link quality information about the link between the first AP and the STA and link quality information about the link between the second AP and the STA; and selects the first AP as a shared AP on the basis of first and second capability information and the link quality information.</t>
  </si>
  <si>
    <t>17754746</t>
  </si>
  <si>
    <t>2020.09.09</t>
  </si>
  <si>
    <t>20230328622</t>
  </si>
  <si>
    <t>PCT/KR2020/012138</t>
  </si>
  <si>
    <t>20200909</t>
  </si>
  <si>
    <t>METHOD FOR TRANSMITTING OR RECEIVING FRAME IN WIRELESS LAN SYSTEM AND APPARATUS THEREFOR</t>
  </si>
  <si>
    <t>A method for receiving a WUR frame by a STA in a WLAN according to one embodiment of the present invention may comprise the steps of: receiving a WUR frame comprising a frame control field, an address field, a TD control field, and a frame body; and acquiring BSSID-related information, SSID-related information, and PCR channel-related information from the WUR frame, according to a determination that the WUR frame is a WUR frame for broadcasting information used to find an AP, wherein: the BSSID-related information is obtained by abbreviating an entire BSSID of the AP, and a first part and a second part of the abbreviated BSSID are acquired from the address field and the TD control field, respectively; and the SSID-related information is obtained by abbreviating an entire SSID of the AP, and the abbreviated SSID is acquired from the frame body.</t>
  </si>
  <si>
    <t>16759905</t>
  </si>
  <si>
    <t>2018.10.30</t>
  </si>
  <si>
    <t>20210185612</t>
  </si>
  <si>
    <t>2021.06.17</t>
  </si>
  <si>
    <t>PCT/KR2018/012995</t>
  </si>
  <si>
    <t>20181030</t>
  </si>
  <si>
    <t>Taewon SONG|Suhwook KIM|Jeongki KIM|Kiseon RYU|Jinsoo CHOI</t>
  </si>
  <si>
    <t>METHOD AND APPARATUS FOR RECEIVING IMPORTANT UPDATE INFORMATION VIA MULTI-LINK ELEMENT IN WIRELESS LAN SYSTEM</t>
  </si>
  <si>
    <t>Proposed are a method and apparatus for receiving important update information via a multi-link element in a wireless LAN system. In detail, a reception MLD receives a multi-link element from a transmission MLD via a first link. The reception MLD decodes the multi-link element. The transmission MLD includes a first transmission STA operating in the first link and a second transmission STA operating in a second link. The multi-link element includes common information and link-specific information. The common information is changed when an important update occurs for the second transmission STA.</t>
  </si>
  <si>
    <t>18007675</t>
  </si>
  <si>
    <t>20230224989</t>
  </si>
  <si>
    <t>PCT/KR2021/007227</t>
  </si>
  <si>
    <t>RESOURCE ALLOCATION FOR LOW-LATENCY TRANSMISSION</t>
  </si>
  <si>
    <t>In a wireless local area network (WLAN) system, an access point (AP) may acquire, from an overlapping Basic Service Set (BSS), information related to a first allocation slot. The first allocation slot may be a time resource allocated for low-latency traffic of the OBSS, and the low-latency traffic may be a new type of traffic whose delay is set below a preconfigured threshold. The AP may transmit, to its associated STA, information related to a second allocation slot. The second allocation slot may be a time resource allocated for low-latency traffic of a BSS to which the AP belongs.</t>
  </si>
  <si>
    <t>17918466</t>
  </si>
  <si>
    <t>20230146617</t>
  </si>
  <si>
    <t>PCT/KR2020/018683</t>
  </si>
  <si>
    <t>Insun Jang|Jeongki Kim|Jinsoo Choi|Namyeong Kim|Sungjin Park|Taewon Song</t>
  </si>
  <si>
    <t>ACK TRANSMISSION IN MULTI-LINK</t>
  </si>
  <si>
    <t>The present disclosure is related to a multi-link device (MLD) in a wireless local area network (LAN). The MLD in the present disclosure includes a first station (STA) operating on a first link and a second STA operating on a second link. The MLD may transmit acknowledgement (ACK) sharing information which is related to whether ACKs can be shared between the first STA and the second STA.</t>
  </si>
  <si>
    <t>17758380</t>
  </si>
  <si>
    <t>2020.11.30</t>
  </si>
  <si>
    <t>20230083654</t>
  </si>
  <si>
    <t>PCT/KR2020/017242</t>
  </si>
  <si>
    <t>20201130</t>
  </si>
  <si>
    <t>CHANNEL ESTIMATION USING MULTIPLE AP</t>
  </si>
  <si>
    <t>In a wireless local area network system, a sharing access point (AP) may determine a long training field (LTF) subcarrier pattern for each of multiple streams, wherein an LTF symbol is used for at least one stream among a first to a third stream, the number of the LTF symbols is determined on the basis of the number of antennas of a shared AP having the maximum number of antennas among multiple shared APs associated with the sharing AP, and the first to the third stream are assigned different subcarrier patterns. The sharing AP may transmit information associated with the LTF subcarrier pattern.</t>
  </si>
  <si>
    <t>17435508</t>
  </si>
  <si>
    <t>2020.02.27</t>
  </si>
  <si>
    <t>20220140987</t>
  </si>
  <si>
    <t>2022.05.05</t>
  </si>
  <si>
    <t>PCT/KR2020/002797</t>
  </si>
  <si>
    <t>20200227</t>
  </si>
  <si>
    <t>Sungjin Park|Jeongki Kim|Jinsoo Choi|Suhwook Kim|Taewon Song|Insun Jang|Eunsung Park</t>
  </si>
  <si>
    <t>TONE REASSIGNMENT FOR HARQ</t>
  </si>
  <si>
    <t>A station (STA) can transmit a first physical protocol data unit (PPDU) including a plurality of first constellation symbols related to initial transmission in a wireless location area network system. The first PPDU includes a first resource unit (RU), and the plurality of first constellation symbols can be assigned to a plurality of subcarriers within the first RU on the basis of a first assignment pattern. The STA can receive a retransmission request related to the first PPDU. The STA can transmit a second PPDU including a plurality of second constellation symbols related to retransmission. The second PPDU includes a second RU, and the plurality of second constellation symbols can be assigned to a plurality of subcarriers within the second RU on the basis of a second assignment pattern.</t>
  </si>
  <si>
    <t>17427227</t>
  </si>
  <si>
    <t>2020.01.31</t>
  </si>
  <si>
    <t>20220103295</t>
  </si>
  <si>
    <t>2022.03.31</t>
  </si>
  <si>
    <t>PCT/KR2020/001525</t>
  </si>
  <si>
    <t>20200131</t>
  </si>
  <si>
    <t>Taewon SONG|Jeongki KIM|Jinsoo CHOI|Suhwook KIM|Jinmin KIM</t>
  </si>
  <si>
    <t>METHOD FOR TRANSMITTING OR RECEIVING FRAME IN WIRELESS LAN AND APPARATUS THEREFOR</t>
  </si>
  <si>
    <t>A method by which a station (STA) receives a frame in a wireless LAN (WLAN), according to one embodiment of the present disclosure, comprising: receiving a first primary connectivity radio (PCR) frame including a counter value related to a version of a PCR system parameter through a PCR; storing the counter value, which is acquired through the first PCR frame, and entering a wake-up radio (WUR) mode; receiving a first WUR frame through the WUR; and determining whether to perform wake up based on reception of the first WUR frame, wherein the first WUR frame includes a counter field, and the STA can determine whether to perform wake up based on whether a value of the counter field of the first WUR frame corresponds to the stored counter value.</t>
  </si>
  <si>
    <t>16634508</t>
  </si>
  <si>
    <t>2018.07.25</t>
  </si>
  <si>
    <t>20200236624</t>
  </si>
  <si>
    <t>2020.07.23</t>
  </si>
  <si>
    <t>PCT/KR2018/008425</t>
  </si>
  <si>
    <t>20180725</t>
  </si>
  <si>
    <t>Jeongki KIM|Kiseon RYU|Suhwook KIM|Taewon SONG|Jinsoo CHOI</t>
  </si>
  <si>
    <t>열1</t>
    <phoneticPr fontId="4" type="noConversion"/>
  </si>
  <si>
    <t>열2</t>
    <phoneticPr fontId="4" type="noConversion"/>
  </si>
  <si>
    <t>열3</t>
  </si>
  <si>
    <t>열4</t>
  </si>
  <si>
    <t>무선 LAN 시스템에서 수신 장치가 ACK 요청 링크 정보가 포함된 BAR 프레임을 수신하고 이를 기반으로 BA 프레임을 전송하는 기술. 수신 장치는 복수의 링크(2.4GHz, 5GHz, 6GHz 대역)를 통한 통신을 지원하는 다중 링크 장치(MLD)임.</t>
  </si>
  <si>
    <t>무선 LAN 시스템에서 다중 링크 장치(MLD)가 비주요 링크의 백오프 카운터가 0에 도달해도 주요 링크의 백오프 카운터가 0에 도달하지 않은 경우 첫 번째 링크에서 PPDU 전송을 지연시키는 기술. 전송이 지연될 때 백오프 카운터는 0으로 유지됨.</t>
  </si>
  <si>
    <t>다중 링크 장치(MLD)가 첫 번째 AP를 통해 요청 프레임을 전송하여 두 번째 링크에 대해 지정된 요소 세트에 포함된 모든 요소를 요청하고, 이에 기반하여 해당 요소들을 수신하는 기술.</t>
  </si>
  <si>
    <t>무선 LAN 시스템에서 전송 장치가 다중 링크 채널 전환 기능 정보를 수신 장치에 전송하고, 첫 번째 링크를 통해 PPDU 및 채널 변경 신호를 전송한 후 두 번째 링크를 통해 PPDU를 전송하는 기술.</t>
  </si>
  <si>
    <t>무선 LAN 시스템에서 비AP 스테이션 MLD가 첫 번째 링크를 통해 최대 공간 스트림(NSS) 정보가 포함된 협상 프레임을 AP MLD에 전송하고, 협상 응답 프레임을 수신하는 기술.</t>
  </si>
  <si>
    <t>다중 링크 장치(MLD)가 첫 번째 링크를 통해 PPDU를 수신하는데, 이 PPDU에는 두 번째 링크와 관련된 정보 필드가 포함됨. 이 정보 필드는 두 번째 링크의 식별자와 관련된 정보와 두 번째 링크에 관련된 모든 요소 정보가 PPDU에 포함되어 있는지 여부에 대한 정보를 포함함.</t>
  </si>
  <si>
    <t>무선 LAN 시스템에서 전송 장치가 첫 번째 중복 버전의 전송 데이터가 포함된 PPDU를 수신 장치에 전송하고, ACK 또는 NACK 프레임이 임계 시간 내에 수신되는지 여부에 따라 재전송할 두 번째 중복 버전을 결정하는 기술.</t>
  </si>
  <si>
    <t>무선 LAN 시스템에서 스테이션(STA)이 첫 번째 TID가 첫 번째 링크에 매핑되고 두 번째 TID가 두 번째 링크에 매핑됨을 나타내는 정보가 포함된 PPDU를 전송하여, 각 TID에 해당하는 트래픽을 지정된 링크를 통해서만 전송하는 기술.</t>
  </si>
  <si>
    <t>무선 LAN 시스템에서 스테이션(STA)이 서브프레임 길이 정보와 함께 하나 이상의 서브프레임을 포함하는 PPDU를 생성하는 기술. 서브프레임은 MPDU와 패딩 비트를 포함하며, 패딩 비트 길이는 서브프레임 길이가 코드워드 길이의 정수배가 되도록 결정됨.</t>
  </si>
  <si>
    <t>다중 링크 장치(MLD)가 첫 번째 스테이션(STA)을 통해 AP 다중 링크 장치의 첫 번째 AP에 두 번째 링크와 관련된 요소를 요청하는 정보 필드가 포함된 요청 프레임을 전송하고, 이 요청에 기반하여 두 번째 링크와 관련된 요소를 수신하는 기술.</t>
  </si>
  <si>
    <t>무선 LAN 시스템에서 수신 다중 링크 장치(MLD)가 두 번째 링크를 통해 RTS 프레임을 수신해도, 첫 번째 링크를 통해 작동하는 STA가 TXOP 응답자인 경우 CTS 프레임을 전송하지 않는 기술. 다중 링크 장치는 최소한 하나의 NSTR(비동시 송수신) 링크 쌍을 포함함.</t>
  </si>
  <si>
    <t>무선 LAN 시스템에서 비동시 송수신(non-STR) 장치가 첫 번째 링크와 두 번째 링크에 관련된 다중 링크 통신을 지원함. 첫 번째 링크의 백오프 카운터가 0에 도달했으나 두 번째 링크의 백오프 카운터가 0에 도달하지 않았을 때, 첫 번째 링크를 통한 PPDU 전송을 하지 않고 백오프 카운터를 0으로 유지하는 기술.</t>
  </si>
  <si>
    <t>무선 LAN 시스템에서 수신 MLD가 첫 번째 링크를 통해 전송 MLD에 프로브 요청 프레임을 전송하고 프로브 응답 프레임을 수신하는 기술. 전송 MLD는 세 개의 링크에서 작동하는 스테이션들을 포함하며, 프로브 요청 프레임은 두 번째 및 세 번째 링크에 대한 식별자를 포함함.</t>
  </si>
  <si>
    <t>무선 LAN 시스템에서 다중 링크 장치(MLD)가 링크 수 필드와 이 필드의 존재 여부를 나타내는 링크 표시 필드를 포함하는 다중 링크 요소를 전송하는 기술. 다중 링크 요소는 추가로 다중 링크 제어 필드, 공통 정보 필드, 링크 정보 필드를 포함함.</t>
  </si>
  <si>
    <t>무선 LAN 시스템에서 첫 번째 스테이션(STA)이 첫 번째 링크를 통해 수신된 첫 번째 프레임에 대한 첫 번째 ACK 신호의 전송 실패를 확인하고, 두 번째 링크를 통해 두 번째 STA에 전송 실패 관련 보고 정보를 전송한 후, 첫 번째 링크에서 좁은 대역폭으로 두 번째 ACK 신호를 전송하는 기술.</t>
  </si>
  <si>
    <t>무선 LAN 시스템에서 AP가 첫 번째 및 두 번째 RF가 지원하는 첫 번째 대역을 통해 대역 전환 공지 요소를 전송하고, 두 번째 RF가 지원하는 첫 번째 대역을 두 번째 대역으로 변경한 후, 첫 번째 RF가 지원하는 첫 번째 대역과 두 번째 RF가 지원하는 두 번째 대역을 통해 결합된 다중 대역으로 STA에 데이터를 전송하는 기술.</t>
  </si>
  <si>
    <t>무선 LAN 시스템의 전송 스테이션(STA)이 수신 STA로부터 코드워드 길이에 관련된 정보를 수신하고, 이 정보에 기반하여 재전송할 코드워드를 설정하여 전송하는 기술. 코드워드 길이 정보를 활용해 효율적인 하이브리드 자동 재전송 요청(HARQ) 처리를 가능하게 함.</t>
  </si>
  <si>
    <t>무선 LAN 시스템에서 첫 번째 및 두 번째 링크를 지원하는 첫 번째 스테이션(STA)이 두 번째 STA를 위해 생성된 PPDU를 첫 번째 링크를 통해 수신하고, 이를 기반으로 첫 번째 링크와 두 번째 링크에 대해 첫 번째 유형의 NAV를 설정하는 기술.</t>
  </si>
  <si>
    <t>무선 LAN 시스템에서 AP가 첫 번째 대역을 통해 첫 번째 STA에 프레임을 전송하는 동시에 두 번째 대역을 통해 두 번째 STA로부터 프레임을 수신하는 기술. 첫 번째와 두 번째 대역은 다중 대역으로 결합되어 다운링크와 업링크 전송을 동시 지원함.</t>
  </si>
  <si>
    <t>무선 LAN 시스템에서 스테이션(STA)이 AP로부터 WUR 디스커버리 요소를 수신하고, 이를 기반으로 이웃 AP로부터 WUR 디스커버리 프레임을 수신하는 기술. WUR 디스커버리 요소는 AP 목록 정보와 WUR 디스커버리 기간에 대한 정보를 포함함.</t>
  </si>
  <si>
    <t>다중 링크 장치(MLD)가 첫 번째 링크를 통해 PPDU를 수신하는 기술. 이 PPDU는 두 번째 링크에 관련된 정보 필드를 포함하며, 이 정보 필드는 두 번째 링크의 식별자 및 모든 요소 정보가 PPDU에 포함되었는지에 관한 정보를 포함함.</t>
  </si>
  <si>
    <t>무선 LAN 시스템에서 비동시 송수신(non-STR) 장치가 첫 번째 링크와 두 번째 링크에 관련된 다중 링크 통신을 지원함. 첫 번째 링크의 백오프 카운터가 0에 도달했으나 두 번째 링크의 백오프 카운터가 0에 도달하지 않은 경우 PPDU 전송을 지연하는 기술.</t>
  </si>
  <si>
    <t>첫 번째 링크에서 두 번째 링크의 NAV 설정을 위한 정보를 전송하는 기술. 전송 STA가 두 번째 링크를 통해 통신할 때, 첫 번째 링크를 통해 다른 STA에 두 번째 링크의 NAV 설정 정보를 전송하여 채널 접근을 효율적으로 관리함.</t>
  </si>
  <si>
    <t>무선 LAN 시스템에서 전송 장치가 첫 번째 링크를 통해 ACK를 수신한 후, 첫 번째 링크를 위해 구성된 TXOP 내에서 두 번째 링크가 일정 시간 동안 유휴 상태인지 확인하고, 이에 기반하여 첫 번째 링크와 두 번째 링크를 집계하여 패킷을 전송하는 기술.</t>
  </si>
  <si>
    <t>무선 LAN 시스템에서 AP가 PPDU를 생성하여 첫 번째 및 두 번째 STA에 전송하는 기술. PPDU는 S-TDMA 정보를 포함하는 세 번째 신호 필드를 포함하며, 이를 통해 첫 번째와 두 번째 데이터 필드를 서로 다른 심볼 타이밍에 효율적으로 전송함.</t>
  </si>
  <si>
    <t>첫 번째 링크와 두 번째 링크에서 작동하는 다중 링크 장치(MLD)가 깨어 있는 상태의 첫 번째 스테이션(STA)을 통해 MLD에 버퍼링된 데이터에 관한 정보를 전송하는 기술. 이 정보는 첫 번째 STA와 관련된 정보 필드와 두 번째 STA와 관련된 정보 필드를 포함함.</t>
  </si>
  <si>
    <t>무선 LAN 시스템에서 전송 장치가 다중 대역에 관련된 구성 정보를 수신하고, 다중 대역에 대해 채널 감지를 수행한 후, 그 결과에 따라 수신 장치에 데이터를 전송하는 기술. 다중 대역에는 첫 번째 및 두 번째 대역이 결합되어 효율적인 데이터 전송을 가능하게 함.</t>
  </si>
  <si>
    <t>무선 LAN 시스템에서 웨이크업 라디오(WUR) STA 관련 기술적 특징을 제안함. 구체적으로 WUR 모드 동작에 관련된 파라미터를 업데이트하는 작업으로, WUR STA가 WUR 모드를 유지하면서 AP로부터 비요청 프레임을 수신하여 파라미터를 업데이트함.</t>
  </si>
  <si>
    <t>WLAN 시스템에서 전송 장치가 다중 대역에 관련된 구성 정보를 수신하고, 다중 대역에 대해 채널 감지를 수행한 후 채널 감지 결과에 따라 수신 장치에 PPDU를 전송하는 기술. 첫 번째 및 두 번째 대역에 공통으로 설정된 CW 값에 기반하여 채널 감지를 수행함.</t>
  </si>
  <si>
    <t>무선 LAN 시스템에서 수신 데이터에 관한 방법 및 장치를 제안함. 구체적으로 AP가 다중 대역을 통해 첫 번째에서 세 번째 STA에 트리거 프레임을 전송하고, 이를 기반으로 STA들로부터 데이터를 수신하며, 각 STA와 관련된 사용자 정보를 효율적으로 관리함.</t>
  </si>
  <si>
    <t>무선 LAN 시스템에서 AP가 첫 번째 및 두 번째 STA에 트리거 프레임을 전송하고, 이에 기반하여 첫 번째 및 두 번째 트리거 기반 프레임을 수신하는 기술. 트리거 프레임은 S-TDMA 수행을 가능하게 하는 정보와 프레임 전송 타이밍에 관한 정보를 포함함.</t>
  </si>
  <si>
    <t>무선 LAN 시스템에서 메인 라디오 모듈과 웨이크업 라디오(WUR) 모듈을 포함하는 첫 번째 무선 단말이 WUR 모드에서 웨이크업 패킷을, 수신한 후 일정 시간이 경과하면 메인 라디오 모듈을 깨우는 기술. 효율적인 전력 관리를 통해 통신 성능을 향상시킴.</t>
  </si>
  <si>
    <t>무선 LAN 시스템에서 전송 장치가 첫 번째부터 세 번째 대역을 결합한 다중 대역의 구성 정보를 수신하고, 첫 번째부터 세 번째 대역에 대해 채널 감지를 수행한 후 그 결과에 기반하여 수신 장치에 데이터를 전송하는 기술. 각 대역은 주요 및 부가 채널을 포함함.</t>
  </si>
  <si>
    <t>Lee, Hong, Degerman, Kang &amp; Waimey PC</t>
  </si>
  <si>
    <t>Lee Hong Degerman Kang Waimey</t>
  </si>
  <si>
    <t>LEE, HONG, DEGERMAN, KANG &amp; WAIMEY PC</t>
  </si>
  <si>
    <t>LEE, HONG, DEGERMAN, KANG &amp; WAIMEY</t>
  </si>
  <si>
    <t>BRYAN CAVE LEIGHTON PAISNER LLP</t>
  </si>
  <si>
    <t>Fish &amp; Richardson P.C.</t>
  </si>
  <si>
    <t>2024.07.16</t>
  </si>
  <si>
    <t>12041675</t>
  </si>
  <si>
    <t>Multi-link operation mode</t>
  </si>
  <si>
    <t>Sungjin Park|Jeongki Kim|Jinsoo Choi|Suhwook Kim|Taewon Song|Insun Jang</t>
  </si>
  <si>
    <t>WO2021045396</t>
  </si>
  <si>
    <t>2024.10.01</t>
  </si>
  <si>
    <t>12108418</t>
  </si>
  <si>
    <t>Data sharing in multi-AP system</t>
  </si>
  <si>
    <t>2021.08.26</t>
  </si>
  <si>
    <t>WO2021167223</t>
  </si>
  <si>
    <t>12120741</t>
  </si>
  <si>
    <t>2021.02.25</t>
  </si>
  <si>
    <t>WO2021033938</t>
  </si>
  <si>
    <t>2024.12.10</t>
  </si>
  <si>
    <t>12166584</t>
  </si>
  <si>
    <t>Resumption of PHY-level HARQ operation</t>
  </si>
  <si>
    <t>2021.07.15</t>
  </si>
  <si>
    <t>WO2021141449</t>
  </si>
  <si>
    <t>2025.04.01</t>
  </si>
  <si>
    <t>12267900</t>
  </si>
  <si>
    <t>WO2021177749</t>
  </si>
  <si>
    <t>2025.04.08</t>
  </si>
  <si>
    <t>12273945</t>
  </si>
  <si>
    <t>2021.05.14</t>
  </si>
  <si>
    <t>WO2021091231</t>
  </si>
  <si>
    <t>2025.04.15</t>
  </si>
  <si>
    <t>12279303</t>
  </si>
  <si>
    <t>Namyeong Kim|Jeongki Kim|Jinsoo Choi|Suhwook Kim|Sungjin Park|Taewon Song|Insun Jang</t>
  </si>
  <si>
    <t>WO2021141466</t>
  </si>
  <si>
    <t>2025.04.29</t>
  </si>
  <si>
    <t>12289685</t>
  </si>
  <si>
    <t>2021.04.22</t>
  </si>
  <si>
    <t>WO2021075725</t>
  </si>
  <si>
    <t>2025.05.13</t>
  </si>
  <si>
    <t>12302213</t>
  </si>
  <si>
    <t>Shared AP selection in multi-AP system</t>
  </si>
  <si>
    <t>WO2021112556</t>
  </si>
  <si>
    <t>12302248</t>
  </si>
  <si>
    <t>2021.04.08</t>
  </si>
  <si>
    <t>WO2021066326</t>
  </si>
  <si>
    <t>2025.05.20</t>
  </si>
  <si>
    <t>12309099</t>
  </si>
  <si>
    <t>HARQ operations at PHY layer level</t>
  </si>
  <si>
    <t>WO2021162399</t>
  </si>
  <si>
    <t>2025.05.27</t>
  </si>
  <si>
    <t>12317317</t>
  </si>
  <si>
    <t>Trigger-based data transmission</t>
  </si>
  <si>
    <t>2022.03.10</t>
  </si>
  <si>
    <t>WO2022050814</t>
  </si>
  <si>
    <t>12317351</t>
  </si>
  <si>
    <t>Method and device for acquiring information on links between MLDs in wireless LAN system</t>
  </si>
  <si>
    <t>Bryan Cave Leighton Paisner LLP</t>
  </si>
  <si>
    <t>WO2021177587</t>
  </si>
  <si>
    <t>2025.06.10</t>
  </si>
  <si>
    <t>12328686</t>
  </si>
  <si>
    <t>Transmission power in multi-AP transmission using space reuse</t>
  </si>
  <si>
    <t>WO2021112557</t>
  </si>
  <si>
    <t>2025.06.17</t>
  </si>
  <si>
    <t>12336031</t>
  </si>
  <si>
    <t>WO2021167376</t>
  </si>
  <si>
    <t>12336032</t>
  </si>
  <si>
    <t>Insun Jang|Jeongki Kim|Jinsoo Choi|Namyeong Kim|Taewon Song|Sunhee Baek</t>
  </si>
  <si>
    <t>2025.06.24</t>
  </si>
  <si>
    <t>12342403</t>
  </si>
  <si>
    <t>Multi-link setup in wireless communication system</t>
  </si>
  <si>
    <t>WO2021112558</t>
  </si>
  <si>
    <t>2025.07.08</t>
  </si>
  <si>
    <t>12356479</t>
  </si>
  <si>
    <t>Technique for performing multilink communication in wireless communication system</t>
  </si>
  <si>
    <t>WO2021141467</t>
  </si>
  <si>
    <t>2025.07.22</t>
  </si>
  <si>
    <t>12369122</t>
  </si>
  <si>
    <t>2021.09.02</t>
  </si>
  <si>
    <t>WO2021172732</t>
  </si>
  <si>
    <t>2025.07.29</t>
  </si>
  <si>
    <t>12376042</t>
  </si>
  <si>
    <t>Reuse of space in multi-ap system</t>
  </si>
  <si>
    <t>WO2021085995</t>
  </si>
  <si>
    <t>2025.08.12</t>
  </si>
  <si>
    <t>12389493</t>
  </si>
  <si>
    <t>Link deactivation in multi-link</t>
  </si>
  <si>
    <t>In a wireless local area network (LAN) system, a transmission MLD may include a first station (STA) and a second STA, which operate in a first link and a second link, respectively. The transmission MLD may transmit, to a reception MLD, a connection request frame including capability information related to whether a restricted basic service set (BSS) mode is supported and information related to use of the restricted BSS mode. The information related to the use of the restricted BSS mode may include first information related to an STA (among STAs in the transmission MLD) which operating in the restricted BSS mode, in which monitoring for signal reception (by the STA operating in the restricted BSS from an STA not operating in the restricted BSS mode) is performed based on acquisition of information indicating reception of a signal. The transmission MLD may receive a connection response frame from the reception MLD.</t>
  </si>
  <si>
    <t>2022.01.06</t>
  </si>
  <si>
    <t>WO2022005167</t>
  </si>
  <si>
    <t>12389478</t>
  </si>
  <si>
    <t>Dynamic configuration of multi-link function in wireless LAN system</t>
  </si>
  <si>
    <t>2025.09.02</t>
  </si>
  <si>
    <t>12408083</t>
  </si>
  <si>
    <t>A method performed at a sharing access point (AP) of a wireless local area network (LAN) system may comprise the steps of: transmitting, to a first station (STA), a first measurement notification frame requesting measurement of a received signal strength indicator (RSSI); transmitting, to the first STA, a first measurement request frame for requesting a first path loss value which is path loss information of an overlapping basic service set (OBSS) AP and the first STA and an acceptable receiver interference level (ARIL) value; receiving, from the first STA, a first measurement report frame including the first path loss and a first ARIL value of the first STA; and transmitting, to the first STA, first data.</t>
  </si>
  <si>
    <t>WO2021172727</t>
  </si>
  <si>
    <t>2025.09.09</t>
  </si>
  <si>
    <t>12414050</t>
  </si>
  <si>
    <t>Measurement for space reuse in multi-AP system</t>
  </si>
  <si>
    <t>점수</t>
    <phoneticPr fontId="4" type="noConversion"/>
  </si>
  <si>
    <t>반영비율</t>
    <phoneticPr fontId="4" type="noConversion"/>
  </si>
  <si>
    <t>발명자수</t>
    <phoneticPr fontId="4" type="noConversion"/>
  </si>
  <si>
    <t>대리인</t>
  </si>
  <si>
    <t>열1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</si>
</sst>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0"/>
      <color rgb="FF252525"/>
      <name val="Gulim"/>
      <family val="3"/>
      <charset val="129"/>
    </font>
    <font>
      <sz val="10"/>
      <color rgb="FF252525"/>
      <name val="Gulim"/>
      <family val="3"/>
      <charset val="129"/>
    </font>
    <font>
      <sz val="11"/>
      <color theme="1"/>
      <name val="맑은 고딕"/>
      <family val="2"/>
      <scheme val="minor"/>
    </font>
    <font>
      <sz val="8"/>
      <name val="맑은 고딕"/>
      <family val="3"/>
      <charset val="129"/>
      <scheme val="minor"/>
    </font>
  </fonts>
  <fills count="7">
    <fill>
      <patternFill patternType="none"/>
    </fill>
    <fill>
      <patternFill patternType="gray125"/>
    </fill>
    <fill>
      <patternFill patternType="solid">
        <fgColor rgb="FFEBEBEB"/>
      </patternFill>
    </fill>
    <fill>
      <patternFill patternType="solid">
        <fgColor rgb="FFFFFFFF"/>
      </patternFill>
    </fill>
    <fill>
      <patternFill patternType="solid">
        <fgColor rgb="FFFFFFFF"/>
        <bgColor indexed="64"/>
      </patternFill>
    </fill>
    <fill>
      <patternFill patternType="solid">
        <fgColor rgb="FFEBEBEB"/>
        <bgColor indexed="64"/>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9" fontId="3" fillId="0" borderId="0" applyFont="0" applyFill="0" applyBorder="0" applyAlignment="0" applyProtection="0">
      <alignment vertical="center"/>
    </xf>
  </cellStyleXfs>
  <cellXfs count="37">
    <xf numFmtId="0" fontId="0" fillId="0" borderId="0" xfId="0"/>
    <xf numFmtId="0" fontId="2" fillId="3" borderId="1" xfId="0" applyFont="1" applyFill="1" applyBorder="1" applyAlignment="1">
      <alignment vertical="center"/>
    </xf>
    <xf numFmtId="0" fontId="2" fillId="3" borderId="2" xfId="0" applyFont="1" applyFill="1" applyBorder="1" applyAlignment="1">
      <alignment vertical="center"/>
    </xf>
    <xf numFmtId="0" fontId="2" fillId="3" borderId="3" xfId="0" applyFont="1" applyFill="1" applyBorder="1" applyAlignment="1">
      <alignment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vertical="center"/>
    </xf>
    <xf numFmtId="0" fontId="2" fillId="3" borderId="8" xfId="0" applyFont="1" applyFill="1" applyBorder="1" applyAlignment="1">
      <alignment vertical="center"/>
    </xf>
    <xf numFmtId="0" fontId="2" fillId="3" borderId="9" xfId="0" applyFont="1" applyFill="1" applyBorder="1" applyAlignment="1">
      <alignment vertical="center"/>
    </xf>
    <xf numFmtId="0" fontId="2" fillId="4" borderId="1" xfId="0" applyFont="1" applyFill="1" applyBorder="1" applyAlignment="1">
      <alignment vertical="center"/>
    </xf>
    <xf numFmtId="0" fontId="2" fillId="4" borderId="5" xfId="0" applyFont="1" applyFill="1" applyBorder="1" applyAlignment="1">
      <alignment vertical="center"/>
    </xf>
    <xf numFmtId="0" fontId="2" fillId="4" borderId="8" xfId="0" applyFont="1" applyFill="1" applyBorder="1" applyAlignment="1">
      <alignment vertical="center"/>
    </xf>
    <xf numFmtId="0" fontId="1" fillId="5" borderId="5" xfId="0" applyFont="1" applyFill="1" applyBorder="1" applyAlignment="1">
      <alignment horizontal="center" vertical="center"/>
    </xf>
    <xf numFmtId="9" fontId="2" fillId="4" borderId="1" xfId="0" applyNumberFormat="1" applyFont="1" applyFill="1" applyBorder="1" applyAlignment="1">
      <alignment vertical="center"/>
    </xf>
    <xf numFmtId="9" fontId="2" fillId="4" borderId="8" xfId="0" applyNumberFormat="1" applyFont="1" applyFill="1" applyBorder="1" applyAlignment="1">
      <alignment vertical="center"/>
    </xf>
    <xf numFmtId="0" fontId="2" fillId="4" borderId="7" xfId="0" applyFont="1" applyFill="1" applyBorder="1" applyAlignment="1">
      <alignment vertical="center"/>
    </xf>
    <xf numFmtId="0" fontId="2" fillId="4" borderId="9" xfId="0" applyFont="1" applyFill="1" applyBorder="1" applyAlignment="1">
      <alignment vertical="center"/>
    </xf>
    <xf numFmtId="10" fontId="2" fillId="4" borderId="5" xfId="1" applyNumberFormat="1" applyFont="1" applyFill="1" applyBorder="1" applyAlignment="1">
      <alignment vertical="center"/>
    </xf>
    <xf numFmtId="10" fontId="2" fillId="4" borderId="1" xfId="1" applyNumberFormat="1" applyFont="1" applyFill="1" applyBorder="1" applyAlignment="1">
      <alignment vertical="center"/>
    </xf>
    <xf numFmtId="0" fontId="2" fillId="3" borderId="6" xfId="0" applyFont="1" applyFill="1" applyBorder="1" applyAlignment="1">
      <alignment vertical="center"/>
    </xf>
    <xf numFmtId="9" fontId="0" fillId="0" borderId="0" xfId="1" applyFont="1" applyAlignment="1"/>
    <xf numFmtId="0" fontId="2" fillId="4" borderId="8" xfId="0" applyFont="1" applyFill="1" applyBorder="1" applyAlignment="1">
      <alignment vertical="center" wrapText="1"/>
    </xf>
    <xf numFmtId="9" fontId="2" fillId="4" borderId="8" xfId="0" applyNumberFormat="1" applyFont="1" applyFill="1" applyBorder="1" applyAlignment="1">
      <alignment vertical="center" wrapText="1"/>
    </xf>
    <xf numFmtId="0" fontId="2" fillId="4" borderId="7" xfId="0" applyFont="1" applyFill="1" applyBorder="1" applyAlignment="1">
      <alignment vertical="center" wrapText="1"/>
    </xf>
    <xf numFmtId="9" fontId="2" fillId="4" borderId="8" xfId="1" applyFont="1" applyFill="1" applyBorder="1" applyAlignment="1">
      <alignment vertical="center" wrapText="1"/>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2" fillId="4" borderId="1" xfId="0" applyFont="1" applyFill="1" applyBorder="1" applyAlignment="1">
      <alignment vertical="center" wrapText="1"/>
    </xf>
    <xf numFmtId="9" fontId="2" fillId="4" borderId="1" xfId="1" applyFont="1" applyFill="1" applyBorder="1" applyAlignment="1">
      <alignment vertical="center" wrapText="1"/>
    </xf>
    <xf numFmtId="0" fontId="2" fillId="4" borderId="5" xfId="0" applyFont="1" applyFill="1" applyBorder="1" applyAlignment="1">
      <alignment vertical="center" wrapText="1"/>
    </xf>
    <xf numFmtId="9" fontId="2" fillId="4" borderId="5" xfId="1" applyFont="1" applyFill="1" applyBorder="1" applyAlignment="1">
      <alignment vertical="center" wrapText="1"/>
    </xf>
    <xf numFmtId="0" fontId="1" fillId="5" borderId="5" xfId="0" applyFont="1" applyFill="1" applyBorder="1" applyAlignment="1">
      <alignment horizontal="center" vertical="center" wrapText="1"/>
    </xf>
    <xf numFmtId="9" fontId="1" fillId="5" borderId="5" xfId="1"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6" borderId="1" xfId="0" applyFont="1" applyFill="1" applyBorder="1" applyAlignment="1">
      <alignment vertical="center" wrapText="1"/>
    </xf>
  </cellXfs>
  <cellStyles count="2">
    <cellStyle name="백분율" xfId="1" builtinId="5"/>
    <cellStyle name="표준" xfId="0" builtinId="0"/>
  </cellStyles>
  <dxfs count="90">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numFmt numFmtId="0" formatCode="General"/>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numFmt numFmtId="13" formatCode="0%"/>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numFmt numFmtId="13" formatCode="0%"/>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10"/>
        <color rgb="FF252525"/>
        <name val="Gulim"/>
        <family val="3"/>
        <charset val="129"/>
        <scheme val="none"/>
      </font>
      <numFmt numFmtId="0" formatCode="General"/>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0"/>
        <color rgb="FF252525"/>
        <name val="Gulim"/>
        <family val="3"/>
        <charset val="129"/>
        <scheme val="none"/>
      </font>
      <fill>
        <patternFill patternType="solid">
          <fgColor indexed="64"/>
          <bgColor rgb="FFEBEBEB"/>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numFmt numFmtId="0" formatCode="General"/>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numFmt numFmtId="13" formatCode="0%"/>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numFmt numFmtId="0" formatCode="General"/>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numFmt numFmtId="0" formatCode="General"/>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252525"/>
        <name val="Gulim"/>
        <family val="3"/>
        <charset val="129"/>
        <scheme val="none"/>
      </font>
      <fill>
        <patternFill patternType="solid">
          <fgColor indexed="64"/>
          <bgColor rgb="FFFFFFFF"/>
        </patternFill>
      </fill>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0"/>
        <color rgb="FF252525"/>
        <name val="Gulim"/>
        <family val="3"/>
        <charset val="129"/>
        <scheme val="none"/>
      </font>
      <fill>
        <patternFill patternType="solid">
          <fgColor indexed="64"/>
          <bgColor rgb="FFEBEBEB"/>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9AC64C-E2C4-4364-BF96-85CADB965FB6}" name="표1_3" displayName="표1_3" ref="A1:R58" totalsRowCount="1" headerRowDxfId="89" dataDxfId="87" headerRowBorderDxfId="88" tableBorderDxfId="86" totalsRowBorderDxfId="85">
  <autoFilter ref="A1:R57" xr:uid="{2CA4A8FD-F595-404B-A3F8-38092C5B5355}"/>
  <sortState xmlns:xlrd2="http://schemas.microsoft.com/office/spreadsheetml/2017/richdata2" ref="A2:R57">
    <sortCondition descending="1" ref="G1:G57"/>
  </sortState>
  <tableColumns count="18">
    <tableColumn id="1" xr3:uid="{3679AB65-AF17-4AF1-A6A5-C062655CBA07}" name="순번" dataDxfId="84" totalsRowDxfId="83"/>
    <tableColumn id="2" xr3:uid="{B0ADE4F2-864A-41E2-ACDE-16A365B471DA}" name="국가" dataDxfId="82" totalsRowDxfId="81"/>
    <tableColumn id="3" xr3:uid="{3D770FA5-5A1E-44ED-B9F3-CE4A14FD87DE}" name="발명의 명칭" dataDxfId="80" totalsRowDxfId="79"/>
    <tableColumn id="35" xr3:uid="{171FFA81-A26D-4369-B296-B17F3EB37EE8}" name="열1" dataDxfId="78" totalsRowDxfId="77">
      <calculatedColumnFormula>COUNTIF(Sheet2!I:I, 표1_3[[#This Row],[등록번호]])</calculatedColumnFormula>
    </tableColumn>
    <tableColumn id="4" xr3:uid="{72E3C34F-6481-4D77-928D-F0042B21E529}" name="분류" dataDxfId="76" totalsRowDxfId="75"/>
    <tableColumn id="5" xr3:uid="{D1229505-5938-488D-AE2C-FBC50BA370A3}" name="등록번호" dataDxfId="74" totalsRowDxfId="73"/>
    <tableColumn id="6" xr3:uid="{B3488520-CADD-4825-8170-6A7196BC7848}" name="등록일자" dataDxfId="72" totalsRowDxfId="71"/>
    <tableColumn id="13" xr3:uid="{E85C86C4-D8F9-4D2D-AB60-689E8EB5DD33}" name="출원인" dataDxfId="70" totalsRowDxfId="69"/>
    <tableColumn id="21" xr3:uid="{DA477ADF-0018-4906-B672-1D6F6B460ABB}" name="국제출원번호" dataDxfId="68" totalsRowDxfId="67"/>
    <tableColumn id="22" xr3:uid="{F944441E-8CAA-4225-BE4A-548054708253}" name="국제출원일자" dataDxfId="66" totalsRowDxfId="65"/>
    <tableColumn id="23" xr3:uid="{138F2FC9-EA90-4D87-82FA-E84E9E983E66}" name="국제공개번호" dataDxfId="64" totalsRowDxfId="63"/>
    <tableColumn id="24" xr3:uid="{EFADF5DB-D0A5-4931-8699-5671CEC603C4}" name="국제공개일자" dataDxfId="62" totalsRowDxfId="61"/>
    <tableColumn id="25" xr3:uid="{8179D79B-4D94-4D1C-9423-5EEABC2DF92B}" name="요약" dataDxfId="60" totalsRowDxfId="59"/>
    <tableColumn id="26" xr3:uid="{A6FB9BEC-2F9C-4906-BFF2-F211EE74202A}" name="대리인" dataDxfId="58" totalsRowDxfId="57"/>
    <tableColumn id="27" xr3:uid="{A52F6071-4A1E-4EA6-8FE9-7BEAC19C5013}" name="발명자" dataDxfId="56" totalsRowDxfId="55"/>
    <tableColumn id="31" xr3:uid="{2204944A-9CF9-4281-AE25-90BFAE11C5A5}" name="발명자수" dataDxfId="54" totalsRowDxfId="53">
      <calculatedColumnFormula>COUNTA(_xlfn.TEXTSPLIT(표1_3[[#This Row],[발명자]], "|"))</calculatedColumnFormula>
    </tableColumn>
    <tableColumn id="33" xr3:uid="{01291E4D-D031-423D-A551-F6318C262BDD}" name="반영비율" dataDxfId="52" totalsRowDxfId="51" dataCellStyle="백분율">
      <calculatedColumnFormula>1/표1_3[[#This Row],[발명자수]]</calculatedColumnFormula>
    </tableColumn>
    <tableColumn id="34" xr3:uid="{0207D3DE-2889-4491-8218-38BB912BB656}" name="점수" totalsRowFunction="custom" dataDxfId="50" totalsRowDxfId="49">
      <calculatedColumnFormula>300*표1_3[[#This Row],[반영비율]]</calculatedColumnFormula>
      <totalsRowFormula>SUM(표1_3[점수])</totalsRow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2FA048-29B4-4D0B-AE3D-C727E9CD6E64}" name="표1" displayName="표1" ref="A1:V100" totalsRowCount="1" headerRowDxfId="48" dataDxfId="46" headerRowBorderDxfId="47" tableBorderDxfId="45" totalsRowBorderDxfId="44">
  <autoFilter ref="A1:V99" xr:uid="{CE2FA048-29B4-4D0B-AE3D-C727E9CD6E64}">
    <filterColumn colId="3">
      <filters>
        <filter val="B2"/>
      </filters>
    </filterColumn>
    <filterColumn colId="9">
      <filters>
        <filter val="2022.05.03"/>
        <filter val="2022.05.10"/>
        <filter val="2022.09.20"/>
        <filter val="2022.11.01"/>
        <filter val="2022.11.08"/>
        <filter val="2023.02.14"/>
        <filter val="2023.03.07"/>
        <filter val="2023.05.02"/>
        <filter val="2023.08.08"/>
        <filter val="2023.12.05"/>
        <filter val="2024.01.09"/>
        <filter val="2024.01.23"/>
        <filter val="2024.01.30"/>
        <filter val="2024.02.27"/>
        <filter val="2024.03.26"/>
        <filter val="2024.05.14"/>
        <filter val="2024.05.21"/>
        <filter val="2024.06.11"/>
        <filter val="2024.08.06"/>
        <filter val="2024.09.03"/>
        <filter val="2024.09.10"/>
        <filter val="2024.10.15"/>
        <filter val="2024.10.29"/>
        <filter val="2024.11.19"/>
        <filter val="2024.12.24"/>
        <filter val="2024.12.31"/>
        <filter val="2025.01.07"/>
        <filter val="2025.01.14"/>
        <filter val="2025.02.04"/>
        <filter val="2025.02.25"/>
        <filter val="2025.03.11"/>
      </filters>
    </filterColumn>
  </autoFilter>
  <tableColumns count="22">
    <tableColumn id="1" xr3:uid="{E81E573E-9D4C-4EB3-B4D3-60EEDC4786F9}" name="순번" dataDxfId="43" totalsRowDxfId="42"/>
    <tableColumn id="2" xr3:uid="{1191AF18-C6F9-4AB9-AD80-7DC1E8AF7110}" name="국가" dataDxfId="41" totalsRowDxfId="40"/>
    <tableColumn id="3" xr3:uid="{9FB64A11-86B1-433E-9AC5-8D526C15B129}" name="발명의 명칭" dataDxfId="39" totalsRowDxfId="38"/>
    <tableColumn id="4" xr3:uid="{D97A2F5D-1066-4A27-94D4-D579F780D216}" name="분류" dataDxfId="37" totalsRowDxfId="36"/>
    <tableColumn id="5" xr3:uid="{8E152F4E-77BC-4904-BEC5-D1AB17663863}" name="출원번호" dataDxfId="35" totalsRowDxfId="34"/>
    <tableColumn id="6" xr3:uid="{7F1FD65B-65CA-4CF9-87EA-6FA5E243C0FE}" name="출원일자" dataDxfId="33" totalsRowDxfId="32"/>
    <tableColumn id="7" xr3:uid="{AC137A48-65BA-45FB-BA1C-96FEBF972BDA}" name="공개번호" dataDxfId="31" totalsRowDxfId="30"/>
    <tableColumn id="8" xr3:uid="{0B63888C-F52E-41A4-A6B7-8DBFFAB2B040}" name="공개일자" dataDxfId="29" totalsRowDxfId="28"/>
    <tableColumn id="9" xr3:uid="{C214DE26-E97B-4982-960E-75D55F0D9820}" name="등록번호" dataDxfId="27" totalsRowDxfId="26"/>
    <tableColumn id="10" xr3:uid="{62273D5E-BB73-499D-88BD-D6B20F7D1915}" name="등록일자" dataDxfId="25" totalsRowDxfId="24"/>
    <tableColumn id="11" xr3:uid="{59BB2B2A-5DDB-4E56-B5D3-8E7D1034AE22}" name="공보일자" dataDxfId="23" totalsRowDxfId="22"/>
    <tableColumn id="12" xr3:uid="{ACFF8741-3263-42B3-BEB2-B30D22A25BC4}" name="국제출원번호" dataDxfId="21" totalsRowDxfId="20"/>
    <tableColumn id="13" xr3:uid="{C58B49FD-7D2F-4972-9A7C-CA1B81BD6BB2}" name="국제출원일자" dataDxfId="19" totalsRowDxfId="18"/>
    <tableColumn id="14" xr3:uid="{3DC6A76C-2737-4912-B187-D8F1EF70F8B1}" name="국제공개번호" dataDxfId="17" totalsRowDxfId="16"/>
    <tableColumn id="15" xr3:uid="{158E4F58-543B-40C7-9F75-2AB24313B090}" name="국제공개일자" dataDxfId="15" totalsRowDxfId="14"/>
    <tableColumn id="16" xr3:uid="{4D281228-4A56-4F3F-B6E8-A80E14CFC2C4}" name="출원인" dataDxfId="13" totalsRowDxfId="12"/>
    <tableColumn id="17" xr3:uid="{8F0FE4F0-1939-4F2A-AC9D-6792718373E7}" name="발명자" dataDxfId="11" totalsRowDxfId="10"/>
    <tableColumn id="22" xr3:uid="{842451FF-7877-4CED-8F25-54375D1C1FF0}" name="열4" dataDxfId="9" totalsRowDxfId="8"/>
    <tableColumn id="18" xr3:uid="{CEE5977E-6E8F-46F6-89FE-E2D137B0D76D}" name="요약" dataDxfId="7" totalsRowDxfId="6"/>
    <tableColumn id="21" xr3:uid="{86A39BFF-0868-4E9C-BC60-BE1DE47DCA9B}" name="열3" dataDxfId="5" totalsRowDxfId="4">
      <calculatedColumnFormula>COUNTA(_xlfn.TEXTSPLIT(Q2, "|"))</calculatedColumnFormula>
    </tableColumn>
    <tableColumn id="19" xr3:uid="{0D29D19C-A5E5-40F4-9545-F1665B039DA8}" name="열1" dataDxfId="3" totalsRowDxfId="2">
      <calculatedColumnFormula>_xlfn.LET(
    _xlpm.authors, _xlfn.TEXTSPLIT(Q2, "|"),
    _xlpm.countAuthors, COUNTA(_xlpm.authors),
    _xlpm.ratio, 1 / _xlpm.countAuthors,
    _xlpm.ratio
)</calculatedColumnFormula>
    </tableColumn>
    <tableColumn id="20" xr3:uid="{13CA9609-D15A-4D75-ADAD-25CC588AE771}" name="열2" totalsRowFunction="custom" dataDxfId="1" totalsRowDxfId="0">
      <calculatedColumnFormula>300*표1[[#This Row],[열1]]</calculatedColumnFormula>
      <totalsRowFormula>SUM(V2:V36)</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D5621-DDAD-4271-9446-02CB6A52E98E}">
  <dimension ref="A1:R58"/>
  <sheetViews>
    <sheetView tabSelected="1" zoomScale="80" zoomScaleNormal="80" workbookViewId="0">
      <selection activeCell="F51" sqref="F51"/>
    </sheetView>
  </sheetViews>
  <sheetFormatPr defaultRowHeight="17" customHeight="1"/>
  <cols>
    <col min="1" max="1" width="5" customWidth="1"/>
    <col min="2" max="2" width="3.83203125" customWidth="1"/>
    <col min="3" max="3" width="70.75" customWidth="1"/>
    <col min="4" max="4" width="9.5" customWidth="1"/>
    <col min="6" max="6" width="10" customWidth="1"/>
    <col min="7" max="7" width="12" customWidth="1"/>
    <col min="8" max="8" width="19.5" bestFit="1" customWidth="1"/>
    <col min="9" max="9" width="19" customWidth="1"/>
    <col min="10" max="10" width="13.08203125" customWidth="1"/>
    <col min="11" max="11" width="14" customWidth="1"/>
    <col min="12" max="12" width="13.08203125" customWidth="1"/>
    <col min="13" max="13" width="100" customWidth="1"/>
    <col min="14" max="14" width="39" customWidth="1"/>
    <col min="15" max="15" width="76.25" customWidth="1"/>
    <col min="17" max="17" width="11" style="21" bestFit="1" customWidth="1"/>
    <col min="18" max="18" width="12" bestFit="1" customWidth="1"/>
  </cols>
  <sheetData>
    <row r="1" spans="1:18" ht="17" customHeight="1">
      <c r="A1" s="35" t="s">
        <v>0</v>
      </c>
      <c r="B1" s="34" t="s">
        <v>1</v>
      </c>
      <c r="C1" s="34" t="s">
        <v>2</v>
      </c>
      <c r="D1" s="34" t="s">
        <v>987</v>
      </c>
      <c r="E1" s="34" t="s">
        <v>4</v>
      </c>
      <c r="F1" s="34" t="s">
        <v>9</v>
      </c>
      <c r="G1" s="34" t="s">
        <v>10</v>
      </c>
      <c r="H1" s="34" t="s">
        <v>16</v>
      </c>
      <c r="I1" s="34" t="s">
        <v>12</v>
      </c>
      <c r="J1" s="34" t="s">
        <v>13</v>
      </c>
      <c r="K1" s="34" t="s">
        <v>14</v>
      </c>
      <c r="L1" s="34" t="s">
        <v>15</v>
      </c>
      <c r="M1" s="34" t="s">
        <v>3</v>
      </c>
      <c r="N1" s="34" t="s">
        <v>986</v>
      </c>
      <c r="O1" s="34" t="s">
        <v>17</v>
      </c>
      <c r="P1" s="32" t="s">
        <v>985</v>
      </c>
      <c r="Q1" s="33" t="s">
        <v>984</v>
      </c>
      <c r="R1" s="32" t="s">
        <v>983</v>
      </c>
    </row>
    <row r="2" spans="1:18" ht="17" customHeight="1">
      <c r="A2" s="27">
        <v>1</v>
      </c>
      <c r="B2" s="26" t="s">
        <v>18</v>
      </c>
      <c r="C2" s="26" t="s">
        <v>982</v>
      </c>
      <c r="D2" s="26">
        <f>COUNTIF(Sheet2!I:I, 표1_3[[#This Row],[등록번호]])</f>
        <v>0</v>
      </c>
      <c r="E2" s="26" t="s">
        <v>21</v>
      </c>
      <c r="F2" s="36" t="s">
        <v>981</v>
      </c>
      <c r="G2" s="26" t="s">
        <v>980</v>
      </c>
      <c r="H2" s="26" t="s">
        <v>33</v>
      </c>
      <c r="I2" s="26" t="s">
        <v>631</v>
      </c>
      <c r="J2" s="26" t="s">
        <v>74</v>
      </c>
      <c r="K2" s="26" t="s">
        <v>979</v>
      </c>
      <c r="L2" s="26" t="s">
        <v>962</v>
      </c>
      <c r="M2" s="26" t="s">
        <v>978</v>
      </c>
      <c r="N2" s="26" t="s">
        <v>888</v>
      </c>
      <c r="O2" s="26" t="s">
        <v>632</v>
      </c>
      <c r="P2" s="30">
        <f>COUNTA(_xlfn.TEXTSPLIT(표1_3[[#This Row],[발명자]], "|"))</f>
        <v>6</v>
      </c>
      <c r="Q2" s="31">
        <f>1/표1_3[[#This Row],[발명자수]]</f>
        <v>0.16666666666666666</v>
      </c>
      <c r="R2" s="30">
        <f>300*표1_3[[#This Row],[반영비율]]</f>
        <v>50</v>
      </c>
    </row>
    <row r="3" spans="1:18" ht="17" customHeight="1">
      <c r="A3" s="27">
        <v>2</v>
      </c>
      <c r="B3" s="26" t="s">
        <v>18</v>
      </c>
      <c r="C3" s="26" t="s">
        <v>65</v>
      </c>
      <c r="D3" s="26">
        <f>COUNTIF(Sheet2!I:I, 표1_3[[#This Row],[등록번호]])</f>
        <v>0</v>
      </c>
      <c r="E3" s="26" t="s">
        <v>21</v>
      </c>
      <c r="F3" s="36" t="s">
        <v>977</v>
      </c>
      <c r="G3" s="26" t="s">
        <v>976</v>
      </c>
      <c r="H3" s="26" t="s">
        <v>33</v>
      </c>
      <c r="I3" s="26" t="s">
        <v>32</v>
      </c>
      <c r="J3" s="26" t="s">
        <v>32</v>
      </c>
      <c r="K3" s="26" t="s">
        <v>32</v>
      </c>
      <c r="L3" s="26" t="s">
        <v>32</v>
      </c>
      <c r="M3" s="26" t="s">
        <v>66</v>
      </c>
      <c r="N3" s="26" t="s">
        <v>888</v>
      </c>
      <c r="O3" s="26" t="s">
        <v>77</v>
      </c>
      <c r="P3" s="28">
        <f>COUNTA(_xlfn.TEXTSPLIT(표1_3[[#This Row],[발명자]], "|"))</f>
        <v>7</v>
      </c>
      <c r="Q3" s="29">
        <f>1/표1_3[[#This Row],[발명자수]]</f>
        <v>0.14285714285714285</v>
      </c>
      <c r="R3" s="28">
        <f>300*표1_3[[#This Row],[반영비율]]</f>
        <v>42.857142857142854</v>
      </c>
    </row>
    <row r="4" spans="1:18" ht="17" customHeight="1">
      <c r="A4" s="27">
        <v>4</v>
      </c>
      <c r="B4" s="26" t="s">
        <v>18</v>
      </c>
      <c r="C4" s="26" t="s">
        <v>975</v>
      </c>
      <c r="D4" s="26">
        <f>COUNTIF(Sheet2!I:I, 표1_3[[#This Row],[등록번호]])</f>
        <v>0</v>
      </c>
      <c r="E4" s="26" t="s">
        <v>21</v>
      </c>
      <c r="F4" s="36" t="s">
        <v>974</v>
      </c>
      <c r="G4" s="26" t="s">
        <v>968</v>
      </c>
      <c r="H4" s="26" t="s">
        <v>257</v>
      </c>
      <c r="I4" s="26" t="s">
        <v>708</v>
      </c>
      <c r="J4" s="26" t="s">
        <v>709</v>
      </c>
      <c r="K4" s="26" t="s">
        <v>973</v>
      </c>
      <c r="L4" s="26" t="s">
        <v>972</v>
      </c>
      <c r="M4" s="26" t="s">
        <v>971</v>
      </c>
      <c r="N4" s="26" t="s">
        <v>889</v>
      </c>
      <c r="O4" s="26" t="s">
        <v>175</v>
      </c>
      <c r="P4" s="28">
        <f>COUNTA(_xlfn.TEXTSPLIT(표1_3[[#This Row],[발명자]], "|"))</f>
        <v>5</v>
      </c>
      <c r="Q4" s="29">
        <f>1/표1_3[[#This Row],[발명자수]]</f>
        <v>0.2</v>
      </c>
      <c r="R4" s="28">
        <f>300*표1_3[[#This Row],[반영비율]]</f>
        <v>60</v>
      </c>
    </row>
    <row r="5" spans="1:18" ht="17" customHeight="1">
      <c r="A5" s="27">
        <v>3</v>
      </c>
      <c r="B5" s="26" t="s">
        <v>18</v>
      </c>
      <c r="C5" s="26" t="s">
        <v>970</v>
      </c>
      <c r="D5" s="26">
        <f>COUNTIF(Sheet2!I:I, 표1_3[[#This Row],[등록번호]])</f>
        <v>0</v>
      </c>
      <c r="E5" s="26" t="s">
        <v>21</v>
      </c>
      <c r="F5" s="36" t="s">
        <v>969</v>
      </c>
      <c r="G5" s="26" t="s">
        <v>968</v>
      </c>
      <c r="H5" s="26" t="s">
        <v>33</v>
      </c>
      <c r="I5" s="26" t="s">
        <v>549</v>
      </c>
      <c r="J5" s="26" t="s">
        <v>165</v>
      </c>
      <c r="K5" s="26" t="s">
        <v>967</v>
      </c>
      <c r="L5" s="26" t="s">
        <v>167</v>
      </c>
      <c r="M5" s="26" t="s">
        <v>545</v>
      </c>
      <c r="N5" s="26" t="s">
        <v>887</v>
      </c>
      <c r="O5" s="26" t="s">
        <v>64</v>
      </c>
      <c r="P5" s="28">
        <f>COUNTA(_xlfn.TEXTSPLIT(표1_3[[#This Row],[발명자]], "|"))</f>
        <v>6</v>
      </c>
      <c r="Q5" s="29">
        <f>1/표1_3[[#This Row],[발명자수]]</f>
        <v>0.16666666666666666</v>
      </c>
      <c r="R5" s="28">
        <f>300*표1_3[[#This Row],[반영비율]]</f>
        <v>50</v>
      </c>
    </row>
    <row r="6" spans="1:18" ht="17" customHeight="1">
      <c r="A6" s="27">
        <v>5</v>
      </c>
      <c r="B6" s="26" t="s">
        <v>18</v>
      </c>
      <c r="C6" s="26" t="s">
        <v>966</v>
      </c>
      <c r="D6" s="26">
        <f>COUNTIF(Sheet2!I:I, 표1_3[[#This Row],[등록번호]])</f>
        <v>0</v>
      </c>
      <c r="E6" s="26" t="s">
        <v>21</v>
      </c>
      <c r="F6" s="36" t="s">
        <v>965</v>
      </c>
      <c r="G6" s="26" t="s">
        <v>964</v>
      </c>
      <c r="H6" s="26" t="s">
        <v>33</v>
      </c>
      <c r="I6" s="26" t="s">
        <v>613</v>
      </c>
      <c r="J6" s="26" t="s">
        <v>614</v>
      </c>
      <c r="K6" s="26" t="s">
        <v>963</v>
      </c>
      <c r="L6" s="26" t="s">
        <v>962</v>
      </c>
      <c r="M6" s="26" t="s">
        <v>608</v>
      </c>
      <c r="N6" s="26" t="s">
        <v>887</v>
      </c>
      <c r="O6" s="26" t="s">
        <v>632</v>
      </c>
      <c r="P6" s="28">
        <f>COUNTA(_xlfn.TEXTSPLIT(표1_3[[#This Row],[발명자]], "|"))</f>
        <v>6</v>
      </c>
      <c r="Q6" s="29">
        <f>1/표1_3[[#This Row],[발명자수]]</f>
        <v>0.16666666666666666</v>
      </c>
      <c r="R6" s="28">
        <f>300*표1_3[[#This Row],[반영비율]]</f>
        <v>50</v>
      </c>
    </row>
    <row r="7" spans="1:18" ht="17" customHeight="1">
      <c r="A7" s="27">
        <v>6</v>
      </c>
      <c r="B7" s="26" t="s">
        <v>18</v>
      </c>
      <c r="C7" s="26" t="s">
        <v>78</v>
      </c>
      <c r="D7" s="26">
        <f>COUNTIF(Sheet2!I:I, 표1_3[[#This Row],[등록번호]])</f>
        <v>0</v>
      </c>
      <c r="E7" s="26" t="s">
        <v>21</v>
      </c>
      <c r="F7" s="36" t="s">
        <v>961</v>
      </c>
      <c r="G7" s="26" t="s">
        <v>960</v>
      </c>
      <c r="H7" s="26" t="s">
        <v>33</v>
      </c>
      <c r="I7" s="26" t="s">
        <v>575</v>
      </c>
      <c r="J7" s="26" t="s">
        <v>530</v>
      </c>
      <c r="K7" s="26" t="s">
        <v>959</v>
      </c>
      <c r="L7" s="26" t="s">
        <v>906</v>
      </c>
      <c r="M7" s="26" t="s">
        <v>571</v>
      </c>
      <c r="N7" s="26" t="s">
        <v>887</v>
      </c>
      <c r="O7" s="26" t="s">
        <v>917</v>
      </c>
      <c r="P7" s="28">
        <f>COUNTA(_xlfn.TEXTSPLIT(표1_3[[#This Row],[발명자]], "|"))</f>
        <v>7</v>
      </c>
      <c r="Q7" s="29">
        <f>1/표1_3[[#This Row],[발명자수]]</f>
        <v>0.14285714285714285</v>
      </c>
      <c r="R7" s="28">
        <f>300*표1_3[[#This Row],[반영비율]]</f>
        <v>42.857142857142854</v>
      </c>
    </row>
    <row r="8" spans="1:18" ht="17" customHeight="1">
      <c r="A8" s="27">
        <v>7</v>
      </c>
      <c r="B8" s="26" t="s">
        <v>18</v>
      </c>
      <c r="C8" s="26" t="s">
        <v>958</v>
      </c>
      <c r="D8" s="26">
        <f>COUNTIF(Sheet2!I:I, 표1_3[[#This Row],[등록번호]])</f>
        <v>0</v>
      </c>
      <c r="E8" s="26" t="s">
        <v>21</v>
      </c>
      <c r="F8" s="36" t="s">
        <v>957</v>
      </c>
      <c r="G8" s="26" t="s">
        <v>956</v>
      </c>
      <c r="H8" s="26" t="s">
        <v>33</v>
      </c>
      <c r="I8" s="26" t="s">
        <v>651</v>
      </c>
      <c r="J8" s="26" t="s">
        <v>563</v>
      </c>
      <c r="K8" s="26" t="s">
        <v>955</v>
      </c>
      <c r="L8" s="26" t="s">
        <v>348</v>
      </c>
      <c r="M8" s="26" t="s">
        <v>647</v>
      </c>
      <c r="N8" s="26" t="s">
        <v>887</v>
      </c>
      <c r="O8" s="26" t="s">
        <v>917</v>
      </c>
      <c r="P8" s="28">
        <f>COUNTA(_xlfn.TEXTSPLIT(표1_3[[#This Row],[발명자]], "|"))</f>
        <v>7</v>
      </c>
      <c r="Q8" s="29">
        <f>1/표1_3[[#This Row],[발명자수]]</f>
        <v>0.14285714285714285</v>
      </c>
      <c r="R8" s="28">
        <f>300*표1_3[[#This Row],[반영비율]]</f>
        <v>42.857142857142854</v>
      </c>
    </row>
    <row r="9" spans="1:18" ht="17" customHeight="1">
      <c r="A9" s="27">
        <v>8</v>
      </c>
      <c r="B9" s="26" t="s">
        <v>18</v>
      </c>
      <c r="C9" s="26" t="s">
        <v>954</v>
      </c>
      <c r="D9" s="26">
        <f>COUNTIF(Sheet2!I:I, 표1_3[[#This Row],[등록번호]])</f>
        <v>0</v>
      </c>
      <c r="E9" s="26" t="s">
        <v>21</v>
      </c>
      <c r="F9" s="36" t="s">
        <v>953</v>
      </c>
      <c r="G9" s="26" t="s">
        <v>952</v>
      </c>
      <c r="H9" s="26" t="s">
        <v>257</v>
      </c>
      <c r="I9" s="26" t="s">
        <v>32</v>
      </c>
      <c r="J9" s="26" t="s">
        <v>32</v>
      </c>
      <c r="K9" s="26" t="s">
        <v>32</v>
      </c>
      <c r="L9" s="26" t="s">
        <v>32</v>
      </c>
      <c r="M9" s="26" t="s">
        <v>671</v>
      </c>
      <c r="N9" s="26" t="s">
        <v>889</v>
      </c>
      <c r="O9" s="26" t="s">
        <v>951</v>
      </c>
      <c r="P9" s="28">
        <f>COUNTA(_xlfn.TEXTSPLIT(표1_3[[#This Row],[발명자]], "|"))</f>
        <v>6</v>
      </c>
      <c r="Q9" s="29">
        <f>1/표1_3[[#This Row],[발명자수]]</f>
        <v>0.16666666666666666</v>
      </c>
      <c r="R9" s="28">
        <f>300*표1_3[[#This Row],[반영비율]]</f>
        <v>50</v>
      </c>
    </row>
    <row r="10" spans="1:18" ht="17" customHeight="1">
      <c r="A10" s="27">
        <v>10</v>
      </c>
      <c r="B10" s="26" t="s">
        <v>18</v>
      </c>
      <c r="C10" s="26" t="s">
        <v>44</v>
      </c>
      <c r="D10" s="26">
        <f>COUNTIF(Sheet2!I:I, 표1_3[[#This Row],[등록번호]])</f>
        <v>0</v>
      </c>
      <c r="E10" s="26" t="s">
        <v>21</v>
      </c>
      <c r="F10" s="36" t="s">
        <v>948</v>
      </c>
      <c r="G10" s="26" t="s">
        <v>947</v>
      </c>
      <c r="H10" s="26" t="s">
        <v>33</v>
      </c>
      <c r="I10" s="26" t="s">
        <v>656</v>
      </c>
      <c r="J10" s="26" t="s">
        <v>563</v>
      </c>
      <c r="K10" s="26" t="s">
        <v>946</v>
      </c>
      <c r="L10" s="26" t="s">
        <v>348</v>
      </c>
      <c r="M10" s="26" t="s">
        <v>652</v>
      </c>
      <c r="N10" s="26" t="s">
        <v>887</v>
      </c>
      <c r="O10" s="26" t="s">
        <v>917</v>
      </c>
      <c r="P10" s="28">
        <f>COUNTA(_xlfn.TEXTSPLIT(표1_3[[#This Row],[발명자]], "|"))</f>
        <v>7</v>
      </c>
      <c r="Q10" s="29">
        <f>1/표1_3[[#This Row],[발명자수]]</f>
        <v>0.14285714285714285</v>
      </c>
      <c r="R10" s="28">
        <f>300*표1_3[[#This Row],[반영비율]]</f>
        <v>42.857142857142854</v>
      </c>
    </row>
    <row r="11" spans="1:18" ht="17" customHeight="1">
      <c r="A11" s="27">
        <v>9</v>
      </c>
      <c r="B11" s="26" t="s">
        <v>18</v>
      </c>
      <c r="C11" s="26" t="s">
        <v>78</v>
      </c>
      <c r="D11" s="26">
        <f>COUNTIF(Sheet2!I:I, 표1_3[[#This Row],[등록번호]])</f>
        <v>0</v>
      </c>
      <c r="E11" s="26" t="s">
        <v>21</v>
      </c>
      <c r="F11" s="36" t="s">
        <v>950</v>
      </c>
      <c r="G11" s="26" t="s">
        <v>947</v>
      </c>
      <c r="H11" s="26" t="s">
        <v>33</v>
      </c>
      <c r="I11" s="26" t="s">
        <v>488</v>
      </c>
      <c r="J11" s="26" t="s">
        <v>489</v>
      </c>
      <c r="K11" s="26" t="s">
        <v>949</v>
      </c>
      <c r="L11" s="26" t="s">
        <v>898</v>
      </c>
      <c r="M11" s="26" t="s">
        <v>484</v>
      </c>
      <c r="N11" s="26" t="s">
        <v>888</v>
      </c>
      <c r="O11" s="26" t="s">
        <v>52</v>
      </c>
      <c r="P11" s="28">
        <f>COUNTA(_xlfn.TEXTSPLIT(표1_3[[#This Row],[발명자]], "|"))</f>
        <v>6</v>
      </c>
      <c r="Q11" s="29">
        <f>1/표1_3[[#This Row],[발명자수]]</f>
        <v>0.16666666666666666</v>
      </c>
      <c r="R11" s="28">
        <f>300*표1_3[[#This Row],[반영비율]]</f>
        <v>50</v>
      </c>
    </row>
    <row r="12" spans="1:18" ht="17" customHeight="1">
      <c r="A12" s="27">
        <v>11</v>
      </c>
      <c r="B12" s="26" t="s">
        <v>18</v>
      </c>
      <c r="C12" s="26" t="s">
        <v>945</v>
      </c>
      <c r="D12" s="26">
        <f>COUNTIF(Sheet2!I:I, 표1_3[[#This Row],[등록번호]])</f>
        <v>0</v>
      </c>
      <c r="E12" s="26" t="s">
        <v>21</v>
      </c>
      <c r="F12" s="36" t="s">
        <v>944</v>
      </c>
      <c r="G12" s="26" t="s">
        <v>943</v>
      </c>
      <c r="H12" s="26" t="s">
        <v>33</v>
      </c>
      <c r="I12" s="26" t="s">
        <v>746</v>
      </c>
      <c r="J12" s="26" t="s">
        <v>747</v>
      </c>
      <c r="K12" s="26" t="s">
        <v>942</v>
      </c>
      <c r="L12" s="26" t="s">
        <v>136</v>
      </c>
      <c r="M12" s="26" t="s">
        <v>743</v>
      </c>
      <c r="N12" s="26" t="s">
        <v>941</v>
      </c>
      <c r="O12" s="26" t="s">
        <v>632</v>
      </c>
      <c r="P12" s="28">
        <f>COUNTA(_xlfn.TEXTSPLIT(표1_3[[#This Row],[발명자]], "|"))</f>
        <v>6</v>
      </c>
      <c r="Q12" s="29">
        <f>1/표1_3[[#This Row],[발명자수]]</f>
        <v>0.16666666666666666</v>
      </c>
      <c r="R12" s="28">
        <f>300*표1_3[[#This Row],[반영비율]]</f>
        <v>50</v>
      </c>
    </row>
    <row r="13" spans="1:18" ht="17" customHeight="1">
      <c r="A13" s="27">
        <v>13</v>
      </c>
      <c r="B13" s="26" t="s">
        <v>18</v>
      </c>
      <c r="C13" s="26" t="s">
        <v>936</v>
      </c>
      <c r="D13" s="26">
        <f>COUNTIF(Sheet2!I:I, 표1_3[[#This Row],[등록번호]])</f>
        <v>0</v>
      </c>
      <c r="E13" s="26" t="s">
        <v>21</v>
      </c>
      <c r="F13" s="36" t="s">
        <v>935</v>
      </c>
      <c r="G13" s="26" t="s">
        <v>934</v>
      </c>
      <c r="H13" s="26" t="s">
        <v>33</v>
      </c>
      <c r="I13" s="26" t="s">
        <v>668</v>
      </c>
      <c r="J13" s="26" t="s">
        <v>669</v>
      </c>
      <c r="K13" s="26" t="s">
        <v>933</v>
      </c>
      <c r="L13" s="26" t="s">
        <v>76</v>
      </c>
      <c r="M13" s="26" t="s">
        <v>664</v>
      </c>
      <c r="N13" s="26" t="s">
        <v>887</v>
      </c>
      <c r="O13" s="26" t="s">
        <v>43</v>
      </c>
      <c r="P13" s="28">
        <f>COUNTA(_xlfn.TEXTSPLIT(표1_3[[#This Row],[발명자]], "|"))</f>
        <v>7</v>
      </c>
      <c r="Q13" s="29">
        <f>1/표1_3[[#This Row],[발명자수]]</f>
        <v>0.14285714285714285</v>
      </c>
      <c r="R13" s="28">
        <f>300*표1_3[[#This Row],[반영비율]]</f>
        <v>42.857142857142854</v>
      </c>
    </row>
    <row r="14" spans="1:18" ht="17" customHeight="1">
      <c r="A14" s="27">
        <v>12</v>
      </c>
      <c r="B14" s="26" t="s">
        <v>18</v>
      </c>
      <c r="C14" s="26" t="s">
        <v>940</v>
      </c>
      <c r="D14" s="26">
        <f>COUNTIF(Sheet2!I:I, 표1_3[[#This Row],[등록번호]])</f>
        <v>0</v>
      </c>
      <c r="E14" s="26" t="s">
        <v>21</v>
      </c>
      <c r="F14" s="36" t="s">
        <v>939</v>
      </c>
      <c r="G14" s="26" t="s">
        <v>934</v>
      </c>
      <c r="H14" s="26" t="s">
        <v>33</v>
      </c>
      <c r="I14" s="26" t="s">
        <v>638</v>
      </c>
      <c r="J14" s="26" t="s">
        <v>639</v>
      </c>
      <c r="K14" s="26" t="s">
        <v>938</v>
      </c>
      <c r="L14" s="26" t="s">
        <v>937</v>
      </c>
      <c r="M14" s="26" t="s">
        <v>169</v>
      </c>
      <c r="N14" s="26" t="s">
        <v>887</v>
      </c>
      <c r="O14" s="26" t="s">
        <v>175</v>
      </c>
      <c r="P14" s="28">
        <f>COUNTA(_xlfn.TEXTSPLIT(표1_3[[#This Row],[발명자]], "|"))</f>
        <v>5</v>
      </c>
      <c r="Q14" s="29">
        <f>1/표1_3[[#This Row],[발명자수]]</f>
        <v>0.2</v>
      </c>
      <c r="R14" s="28">
        <f>300*표1_3[[#This Row],[반영비율]]</f>
        <v>60</v>
      </c>
    </row>
    <row r="15" spans="1:18" ht="17" customHeight="1">
      <c r="A15" s="27">
        <v>14</v>
      </c>
      <c r="B15" s="26" t="s">
        <v>18</v>
      </c>
      <c r="C15" s="26" t="s">
        <v>932</v>
      </c>
      <c r="D15" s="26">
        <f>COUNTIF(Sheet2!I:I, 표1_3[[#This Row],[등록번호]])</f>
        <v>0</v>
      </c>
      <c r="E15" s="26" t="s">
        <v>21</v>
      </c>
      <c r="F15" s="36" t="s">
        <v>931</v>
      </c>
      <c r="G15" s="26" t="s">
        <v>930</v>
      </c>
      <c r="H15" s="26" t="s">
        <v>33</v>
      </c>
      <c r="I15" s="26" t="s">
        <v>692</v>
      </c>
      <c r="J15" s="26" t="s">
        <v>693</v>
      </c>
      <c r="K15" s="26" t="s">
        <v>929</v>
      </c>
      <c r="L15" s="26" t="s">
        <v>928</v>
      </c>
      <c r="M15" s="26" t="s">
        <v>688</v>
      </c>
      <c r="N15" s="26" t="s">
        <v>888</v>
      </c>
      <c r="O15" s="26" t="s">
        <v>694</v>
      </c>
      <c r="P15" s="28">
        <f>COUNTA(_xlfn.TEXTSPLIT(표1_3[[#This Row],[발명자]], "|"))</f>
        <v>7</v>
      </c>
      <c r="Q15" s="29">
        <f>1/표1_3[[#This Row],[발명자수]]</f>
        <v>0.14285714285714285</v>
      </c>
      <c r="R15" s="28">
        <f>300*표1_3[[#This Row],[반영비율]]</f>
        <v>42.857142857142854</v>
      </c>
    </row>
    <row r="16" spans="1:18" ht="17" customHeight="1">
      <c r="A16" s="27">
        <v>16</v>
      </c>
      <c r="B16" s="26" t="s">
        <v>18</v>
      </c>
      <c r="C16" s="26" t="s">
        <v>925</v>
      </c>
      <c r="D16" s="26">
        <f>COUNTIF(Sheet2!I:I, 표1_3[[#This Row],[등록번호]])</f>
        <v>0</v>
      </c>
      <c r="E16" s="26" t="s">
        <v>21</v>
      </c>
      <c r="F16" s="36" t="s">
        <v>924</v>
      </c>
      <c r="G16" s="26" t="s">
        <v>923</v>
      </c>
      <c r="H16" s="26" t="s">
        <v>33</v>
      </c>
      <c r="I16" s="26" t="s">
        <v>791</v>
      </c>
      <c r="J16" s="26" t="s">
        <v>792</v>
      </c>
      <c r="K16" s="26" t="s">
        <v>922</v>
      </c>
      <c r="L16" s="26" t="s">
        <v>921</v>
      </c>
      <c r="M16" s="26" t="s">
        <v>787</v>
      </c>
      <c r="N16" s="26" t="s">
        <v>887</v>
      </c>
      <c r="O16" s="26" t="s">
        <v>893</v>
      </c>
      <c r="P16" s="28">
        <f>COUNTA(_xlfn.TEXTSPLIT(표1_3[[#This Row],[발명자]], "|"))</f>
        <v>6</v>
      </c>
      <c r="Q16" s="29">
        <f>1/표1_3[[#This Row],[발명자수]]</f>
        <v>0.16666666666666666</v>
      </c>
      <c r="R16" s="28">
        <f>300*표1_3[[#This Row],[반영비율]]</f>
        <v>50</v>
      </c>
    </row>
    <row r="17" spans="1:18" ht="17" customHeight="1">
      <c r="A17" s="27">
        <v>15</v>
      </c>
      <c r="B17" s="26" t="s">
        <v>18</v>
      </c>
      <c r="C17" s="26" t="s">
        <v>78</v>
      </c>
      <c r="D17" s="26">
        <f>COUNTIF(Sheet2!I:I, 표1_3[[#This Row],[등록번호]])</f>
        <v>0</v>
      </c>
      <c r="E17" s="26" t="s">
        <v>21</v>
      </c>
      <c r="F17" s="36" t="s">
        <v>927</v>
      </c>
      <c r="G17" s="26" t="s">
        <v>923</v>
      </c>
      <c r="H17" s="26" t="s">
        <v>33</v>
      </c>
      <c r="I17" s="26" t="s">
        <v>562</v>
      </c>
      <c r="J17" s="26" t="s">
        <v>563</v>
      </c>
      <c r="K17" s="26" t="s">
        <v>926</v>
      </c>
      <c r="L17" s="26" t="s">
        <v>348</v>
      </c>
      <c r="M17" s="26" t="s">
        <v>557</v>
      </c>
      <c r="N17" s="26" t="s">
        <v>887</v>
      </c>
      <c r="O17" s="26" t="s">
        <v>917</v>
      </c>
      <c r="P17" s="28">
        <f>COUNTA(_xlfn.TEXTSPLIT(표1_3[[#This Row],[발명자]], "|"))</f>
        <v>7</v>
      </c>
      <c r="Q17" s="29">
        <f>1/표1_3[[#This Row],[발명자수]]</f>
        <v>0.14285714285714285</v>
      </c>
      <c r="R17" s="28">
        <f>300*표1_3[[#This Row],[반영비율]]</f>
        <v>42.857142857142854</v>
      </c>
    </row>
    <row r="18" spans="1:18" ht="17" customHeight="1">
      <c r="A18" s="27">
        <v>17</v>
      </c>
      <c r="B18" s="26" t="s">
        <v>18</v>
      </c>
      <c r="C18" s="26" t="s">
        <v>78</v>
      </c>
      <c r="D18" s="26">
        <f>COUNTIF(Sheet2!I:I, 표1_3[[#This Row],[등록번호]])</f>
        <v>0</v>
      </c>
      <c r="E18" s="26" t="s">
        <v>21</v>
      </c>
      <c r="F18" s="36" t="s">
        <v>920</v>
      </c>
      <c r="G18" s="26" t="s">
        <v>919</v>
      </c>
      <c r="H18" s="26" t="s">
        <v>33</v>
      </c>
      <c r="I18" s="26" t="s">
        <v>529</v>
      </c>
      <c r="J18" s="26" t="s">
        <v>530</v>
      </c>
      <c r="K18" s="26" t="s">
        <v>918</v>
      </c>
      <c r="L18" s="26" t="s">
        <v>906</v>
      </c>
      <c r="M18" s="26" t="s">
        <v>524</v>
      </c>
      <c r="N18" s="26" t="s">
        <v>887</v>
      </c>
      <c r="O18" s="26" t="s">
        <v>917</v>
      </c>
      <c r="P18" s="28">
        <f>COUNTA(_xlfn.TEXTSPLIT(표1_3[[#This Row],[발명자]], "|"))</f>
        <v>7</v>
      </c>
      <c r="Q18" s="29">
        <f>1/표1_3[[#This Row],[발명자수]]</f>
        <v>0.14285714285714285</v>
      </c>
      <c r="R18" s="28">
        <f>300*표1_3[[#This Row],[반영비율]]</f>
        <v>42.857142857142854</v>
      </c>
    </row>
    <row r="19" spans="1:18" ht="17" customHeight="1">
      <c r="A19" s="27">
        <v>18</v>
      </c>
      <c r="B19" s="26" t="s">
        <v>18</v>
      </c>
      <c r="C19" s="26" t="s">
        <v>35</v>
      </c>
      <c r="D19" s="26">
        <f>COUNTIF(Sheet2!I:I, 표1_3[[#This Row],[등록번호]])</f>
        <v>0</v>
      </c>
      <c r="E19" s="26" t="s">
        <v>21</v>
      </c>
      <c r="F19" s="36" t="s">
        <v>916</v>
      </c>
      <c r="G19" s="26" t="s">
        <v>915</v>
      </c>
      <c r="H19" s="26" t="s">
        <v>33</v>
      </c>
      <c r="I19" s="26" t="s">
        <v>685</v>
      </c>
      <c r="J19" s="26" t="s">
        <v>686</v>
      </c>
      <c r="K19" s="26" t="s">
        <v>914</v>
      </c>
      <c r="L19" s="26" t="s">
        <v>913</v>
      </c>
      <c r="M19" s="26" t="s">
        <v>36</v>
      </c>
      <c r="N19" s="26" t="s">
        <v>887</v>
      </c>
      <c r="O19" s="26" t="s">
        <v>43</v>
      </c>
      <c r="P19" s="28">
        <f>COUNTA(_xlfn.TEXTSPLIT(표1_3[[#This Row],[발명자]], "|"))</f>
        <v>7</v>
      </c>
      <c r="Q19" s="29">
        <f>1/표1_3[[#This Row],[발명자수]]</f>
        <v>0.14285714285714285</v>
      </c>
      <c r="R19" s="28">
        <f>300*표1_3[[#This Row],[반영비율]]</f>
        <v>42.857142857142854</v>
      </c>
    </row>
    <row r="20" spans="1:18" ht="17" customHeight="1">
      <c r="A20" s="27">
        <v>19</v>
      </c>
      <c r="B20" s="26" t="s">
        <v>18</v>
      </c>
      <c r="C20" s="26" t="s">
        <v>44</v>
      </c>
      <c r="D20" s="26">
        <f>COUNTIF(Sheet2!I:I, 표1_3[[#This Row],[등록번호]])</f>
        <v>0</v>
      </c>
      <c r="E20" s="26" t="s">
        <v>21</v>
      </c>
      <c r="F20" s="36" t="s">
        <v>912</v>
      </c>
      <c r="G20" s="26" t="s">
        <v>911</v>
      </c>
      <c r="H20" s="26" t="s">
        <v>33</v>
      </c>
      <c r="I20" s="26" t="s">
        <v>495</v>
      </c>
      <c r="J20" s="26" t="s">
        <v>496</v>
      </c>
      <c r="K20" s="26" t="s">
        <v>910</v>
      </c>
      <c r="L20" s="26" t="s">
        <v>136</v>
      </c>
      <c r="M20" s="26" t="s">
        <v>491</v>
      </c>
      <c r="N20" s="26" t="s">
        <v>888</v>
      </c>
      <c r="O20" s="26" t="s">
        <v>52</v>
      </c>
      <c r="P20" s="28">
        <f>COUNTA(_xlfn.TEXTSPLIT(표1_3[[#This Row],[발명자]], "|"))</f>
        <v>6</v>
      </c>
      <c r="Q20" s="29">
        <f>1/표1_3[[#This Row],[발명자수]]</f>
        <v>0.16666666666666666</v>
      </c>
      <c r="R20" s="28">
        <f>300*표1_3[[#This Row],[반영비율]]</f>
        <v>50</v>
      </c>
    </row>
    <row r="21" spans="1:18" ht="17" customHeight="1">
      <c r="A21" s="27">
        <v>20</v>
      </c>
      <c r="B21" s="26" t="s">
        <v>18</v>
      </c>
      <c r="C21" s="26" t="s">
        <v>176</v>
      </c>
      <c r="D21" s="26">
        <f>COUNTIF(Sheet2!I:I, 표1_3[[#This Row],[등록번호]])</f>
        <v>0</v>
      </c>
      <c r="E21" s="26" t="s">
        <v>21</v>
      </c>
      <c r="F21" s="36" t="s">
        <v>909</v>
      </c>
      <c r="G21" s="26" t="s">
        <v>908</v>
      </c>
      <c r="H21" s="26" t="s">
        <v>33</v>
      </c>
      <c r="I21" s="26" t="s">
        <v>480</v>
      </c>
      <c r="J21" s="26" t="s">
        <v>481</v>
      </c>
      <c r="K21" s="26" t="s">
        <v>907</v>
      </c>
      <c r="L21" s="26" t="s">
        <v>906</v>
      </c>
      <c r="M21" s="26" t="s">
        <v>177</v>
      </c>
      <c r="N21" s="26" t="s">
        <v>887</v>
      </c>
      <c r="O21" s="26" t="s">
        <v>43</v>
      </c>
      <c r="P21" s="28">
        <f>COUNTA(_xlfn.TEXTSPLIT(표1_3[[#This Row],[발명자]], "|"))</f>
        <v>7</v>
      </c>
      <c r="Q21" s="29">
        <f>1/표1_3[[#This Row],[발명자수]]</f>
        <v>0.14285714285714285</v>
      </c>
      <c r="R21" s="28">
        <f>300*표1_3[[#This Row],[반영비율]]</f>
        <v>42.857142857142854</v>
      </c>
    </row>
    <row r="22" spans="1:18" ht="17" customHeight="1">
      <c r="A22" s="27">
        <v>21</v>
      </c>
      <c r="B22" s="26" t="s">
        <v>18</v>
      </c>
      <c r="C22" s="26" t="s">
        <v>19</v>
      </c>
      <c r="D22" s="26">
        <f>COUNTIF(Sheet2!I:I, 표1_3[[#This Row],[등록번호]])</f>
        <v>1</v>
      </c>
      <c r="E22" s="26" t="s">
        <v>21</v>
      </c>
      <c r="F22" s="36" t="s">
        <v>26</v>
      </c>
      <c r="G22" s="26" t="s">
        <v>27</v>
      </c>
      <c r="H22" s="26" t="s">
        <v>33</v>
      </c>
      <c r="I22" s="26" t="s">
        <v>28</v>
      </c>
      <c r="J22" s="26" t="s">
        <v>29</v>
      </c>
      <c r="K22" s="26" t="s">
        <v>30</v>
      </c>
      <c r="L22" s="26" t="s">
        <v>31</v>
      </c>
      <c r="M22" s="26" t="s">
        <v>20</v>
      </c>
      <c r="N22" s="26" t="s">
        <v>887</v>
      </c>
      <c r="O22" s="26" t="s">
        <v>34</v>
      </c>
      <c r="P22" s="28">
        <f>COUNTA(_xlfn.TEXTSPLIT(표1_3[[#This Row],[발명자]], "|"))</f>
        <v>7</v>
      </c>
      <c r="Q22" s="29">
        <f>1/표1_3[[#This Row],[발명자수]]</f>
        <v>0.14285714285714285</v>
      </c>
      <c r="R22" s="28">
        <f>300*표1_3[[#This Row],[반영비율]]</f>
        <v>42.857142857142854</v>
      </c>
    </row>
    <row r="23" spans="1:18" ht="17" customHeight="1">
      <c r="A23" s="27">
        <v>22</v>
      </c>
      <c r="B23" s="26" t="s">
        <v>18</v>
      </c>
      <c r="C23" s="26" t="s">
        <v>35</v>
      </c>
      <c r="D23" s="26">
        <f>COUNTIF(Sheet2!I:I, 표1_3[[#This Row],[등록번호]])</f>
        <v>1</v>
      </c>
      <c r="E23" s="26" t="s">
        <v>21</v>
      </c>
      <c r="F23" s="36" t="s">
        <v>41</v>
      </c>
      <c r="G23" s="26" t="s">
        <v>42</v>
      </c>
      <c r="H23" s="26" t="s">
        <v>33</v>
      </c>
      <c r="I23" s="26" t="s">
        <v>32</v>
      </c>
      <c r="J23" s="26" t="s">
        <v>32</v>
      </c>
      <c r="K23" s="26" t="s">
        <v>32</v>
      </c>
      <c r="L23" s="26" t="s">
        <v>32</v>
      </c>
      <c r="M23" s="26" t="s">
        <v>36</v>
      </c>
      <c r="N23" s="26" t="s">
        <v>887</v>
      </c>
      <c r="O23" s="26" t="s">
        <v>43</v>
      </c>
      <c r="P23" s="28">
        <f>COUNTA(_xlfn.TEXTSPLIT(표1_3[[#This Row],[발명자]], "|"))</f>
        <v>7</v>
      </c>
      <c r="Q23" s="29">
        <f>1/표1_3[[#This Row],[발명자수]]</f>
        <v>0.14285714285714285</v>
      </c>
      <c r="R23" s="28">
        <f>300*표1_3[[#This Row],[반영비율]]</f>
        <v>42.857142857142854</v>
      </c>
    </row>
    <row r="24" spans="1:18" ht="17" customHeight="1">
      <c r="A24" s="27">
        <v>24</v>
      </c>
      <c r="B24" s="26" t="s">
        <v>18</v>
      </c>
      <c r="C24" s="26" t="s">
        <v>44</v>
      </c>
      <c r="D24" s="26">
        <f>COUNTIF(Sheet2!I:I, 표1_3[[#This Row],[등록번호]])</f>
        <v>1</v>
      </c>
      <c r="E24" s="26" t="s">
        <v>21</v>
      </c>
      <c r="F24" s="36" t="s">
        <v>50</v>
      </c>
      <c r="G24" s="26" t="s">
        <v>51</v>
      </c>
      <c r="H24" s="26" t="s">
        <v>33</v>
      </c>
      <c r="I24" s="26" t="s">
        <v>32</v>
      </c>
      <c r="J24" s="26" t="s">
        <v>32</v>
      </c>
      <c r="K24" s="26" t="s">
        <v>32</v>
      </c>
      <c r="L24" s="26" t="s">
        <v>32</v>
      </c>
      <c r="M24" s="26" t="s">
        <v>45</v>
      </c>
      <c r="N24" s="26" t="s">
        <v>888</v>
      </c>
      <c r="O24" s="26" t="s">
        <v>52</v>
      </c>
      <c r="P24" s="28">
        <f>COUNTA(_xlfn.TEXTSPLIT(표1_3[[#This Row],[발명자]], "|"))</f>
        <v>6</v>
      </c>
      <c r="Q24" s="29">
        <f>1/표1_3[[#This Row],[발명자수]]</f>
        <v>0.16666666666666666</v>
      </c>
      <c r="R24" s="28">
        <f>300*표1_3[[#This Row],[반영비율]]</f>
        <v>50</v>
      </c>
    </row>
    <row r="25" spans="1:18" ht="17" customHeight="1">
      <c r="A25" s="27">
        <v>23</v>
      </c>
      <c r="B25" s="26" t="s">
        <v>18</v>
      </c>
      <c r="C25" s="26" t="s">
        <v>53</v>
      </c>
      <c r="D25" s="26">
        <f>COUNTIF(Sheet2!I:I, 표1_3[[#This Row],[등록번호]])</f>
        <v>1</v>
      </c>
      <c r="E25" s="26" t="s">
        <v>21</v>
      </c>
      <c r="F25" s="36" t="s">
        <v>59</v>
      </c>
      <c r="G25" s="26" t="s">
        <v>51</v>
      </c>
      <c r="H25" s="26" t="s">
        <v>33</v>
      </c>
      <c r="I25" s="26" t="s">
        <v>60</v>
      </c>
      <c r="J25" s="26" t="s">
        <v>61</v>
      </c>
      <c r="K25" s="26" t="s">
        <v>62</v>
      </c>
      <c r="L25" s="26" t="s">
        <v>63</v>
      </c>
      <c r="M25" s="26" t="s">
        <v>54</v>
      </c>
      <c r="N25" s="26" t="s">
        <v>887</v>
      </c>
      <c r="O25" s="26" t="s">
        <v>64</v>
      </c>
      <c r="P25" s="28">
        <f>COUNTA(_xlfn.TEXTSPLIT(표1_3[[#This Row],[발명자]], "|"))</f>
        <v>6</v>
      </c>
      <c r="Q25" s="29">
        <f>1/표1_3[[#This Row],[발명자수]]</f>
        <v>0.16666666666666666</v>
      </c>
      <c r="R25" s="28">
        <f>300*표1_3[[#This Row],[반영비율]]</f>
        <v>50</v>
      </c>
    </row>
    <row r="26" spans="1:18" ht="17" customHeight="1">
      <c r="A26" s="27">
        <v>25</v>
      </c>
      <c r="B26" s="26" t="s">
        <v>18</v>
      </c>
      <c r="C26" s="26" t="s">
        <v>65</v>
      </c>
      <c r="D26" s="26">
        <f>COUNTIF(Sheet2!I:I, 표1_3[[#This Row],[등록번호]])</f>
        <v>1</v>
      </c>
      <c r="E26" s="26" t="s">
        <v>21</v>
      </c>
      <c r="F26" s="36" t="s">
        <v>71</v>
      </c>
      <c r="G26" s="26" t="s">
        <v>72</v>
      </c>
      <c r="H26" s="26" t="s">
        <v>33</v>
      </c>
      <c r="I26" s="26" t="s">
        <v>73</v>
      </c>
      <c r="J26" s="26" t="s">
        <v>74</v>
      </c>
      <c r="K26" s="26" t="s">
        <v>75</v>
      </c>
      <c r="L26" s="26" t="s">
        <v>76</v>
      </c>
      <c r="M26" s="26" t="s">
        <v>66</v>
      </c>
      <c r="N26" s="26" t="s">
        <v>888</v>
      </c>
      <c r="O26" s="26" t="s">
        <v>77</v>
      </c>
      <c r="P26" s="28">
        <f>COUNTA(_xlfn.TEXTSPLIT(표1_3[[#This Row],[발명자]], "|"))</f>
        <v>7</v>
      </c>
      <c r="Q26" s="29">
        <f>1/표1_3[[#This Row],[발명자수]]</f>
        <v>0.14285714285714285</v>
      </c>
      <c r="R26" s="28">
        <f>300*표1_3[[#This Row],[반영비율]]</f>
        <v>42.857142857142854</v>
      </c>
    </row>
    <row r="27" spans="1:18" ht="17" customHeight="1">
      <c r="A27" s="27">
        <v>26</v>
      </c>
      <c r="B27" s="26" t="s">
        <v>18</v>
      </c>
      <c r="C27" s="26" t="s">
        <v>78</v>
      </c>
      <c r="D27" s="26">
        <f>COUNTIF(Sheet2!I:I, 표1_3[[#This Row],[등록번호]])</f>
        <v>1</v>
      </c>
      <c r="E27" s="26" t="s">
        <v>21</v>
      </c>
      <c r="F27" s="36" t="s">
        <v>83</v>
      </c>
      <c r="G27" s="26" t="s">
        <v>84</v>
      </c>
      <c r="H27" s="26" t="s">
        <v>33</v>
      </c>
      <c r="I27" s="26" t="s">
        <v>85</v>
      </c>
      <c r="J27" s="26" t="s">
        <v>86</v>
      </c>
      <c r="K27" s="26" t="s">
        <v>87</v>
      </c>
      <c r="L27" s="26" t="s">
        <v>88</v>
      </c>
      <c r="M27" s="26" t="s">
        <v>79</v>
      </c>
      <c r="N27" s="26" t="s">
        <v>888</v>
      </c>
      <c r="O27" s="26" t="s">
        <v>52</v>
      </c>
      <c r="P27" s="28">
        <f>COUNTA(_xlfn.TEXTSPLIT(표1_3[[#This Row],[발명자]], "|"))</f>
        <v>6</v>
      </c>
      <c r="Q27" s="29">
        <f>1/표1_3[[#This Row],[발명자수]]</f>
        <v>0.16666666666666666</v>
      </c>
      <c r="R27" s="28">
        <f>300*표1_3[[#This Row],[반영비율]]</f>
        <v>50</v>
      </c>
    </row>
    <row r="28" spans="1:18" ht="17" customHeight="1">
      <c r="A28" s="27">
        <v>27</v>
      </c>
      <c r="B28" s="26" t="s">
        <v>18</v>
      </c>
      <c r="C28" s="26" t="s">
        <v>89</v>
      </c>
      <c r="D28" s="26">
        <f>COUNTIF(Sheet2!I:I, 표1_3[[#This Row],[등록번호]])</f>
        <v>1</v>
      </c>
      <c r="E28" s="26" t="s">
        <v>21</v>
      </c>
      <c r="F28" s="36" t="s">
        <v>95</v>
      </c>
      <c r="G28" s="26" t="s">
        <v>96</v>
      </c>
      <c r="H28" s="26" t="s">
        <v>33</v>
      </c>
      <c r="I28" s="26" t="s">
        <v>97</v>
      </c>
      <c r="J28" s="26" t="s">
        <v>98</v>
      </c>
      <c r="K28" s="26" t="s">
        <v>99</v>
      </c>
      <c r="L28" s="26" t="s">
        <v>100</v>
      </c>
      <c r="M28" s="26" t="s">
        <v>90</v>
      </c>
      <c r="N28" s="26" t="s">
        <v>888</v>
      </c>
      <c r="O28" s="26" t="s">
        <v>101</v>
      </c>
      <c r="P28" s="28">
        <f>COUNTA(_xlfn.TEXTSPLIT(표1_3[[#This Row],[발명자]], "|"))</f>
        <v>6</v>
      </c>
      <c r="Q28" s="29">
        <f>1/표1_3[[#This Row],[발명자수]]</f>
        <v>0.16666666666666666</v>
      </c>
      <c r="R28" s="28">
        <f>300*표1_3[[#This Row],[반영비율]]</f>
        <v>50</v>
      </c>
    </row>
    <row r="29" spans="1:18" ht="17" customHeight="1">
      <c r="A29" s="27">
        <v>28</v>
      </c>
      <c r="B29" s="26" t="s">
        <v>18</v>
      </c>
      <c r="C29" s="26" t="s">
        <v>102</v>
      </c>
      <c r="D29" s="26">
        <f>COUNTIF(Sheet2!I:I, 표1_3[[#This Row],[등록번호]])</f>
        <v>1</v>
      </c>
      <c r="E29" s="26" t="s">
        <v>21</v>
      </c>
      <c r="F29" s="36" t="s">
        <v>108</v>
      </c>
      <c r="G29" s="26" t="s">
        <v>109</v>
      </c>
      <c r="H29" s="26" t="s">
        <v>33</v>
      </c>
      <c r="I29" s="26" t="s">
        <v>110</v>
      </c>
      <c r="J29" s="26" t="s">
        <v>111</v>
      </c>
      <c r="K29" s="26" t="s">
        <v>112</v>
      </c>
      <c r="L29" s="26" t="s">
        <v>113</v>
      </c>
      <c r="M29" s="26" t="s">
        <v>103</v>
      </c>
      <c r="N29" s="26" t="s">
        <v>887</v>
      </c>
      <c r="O29" s="26" t="s">
        <v>64</v>
      </c>
      <c r="P29" s="28">
        <f>COUNTA(_xlfn.TEXTSPLIT(표1_3[[#This Row],[발명자]], "|"))</f>
        <v>6</v>
      </c>
      <c r="Q29" s="29">
        <f>1/표1_3[[#This Row],[발명자수]]</f>
        <v>0.16666666666666666</v>
      </c>
      <c r="R29" s="28">
        <f>300*표1_3[[#This Row],[반영비율]]</f>
        <v>50</v>
      </c>
    </row>
    <row r="30" spans="1:18" ht="17" customHeight="1">
      <c r="A30" s="27">
        <v>29</v>
      </c>
      <c r="B30" s="26" t="s">
        <v>18</v>
      </c>
      <c r="C30" s="26" t="s">
        <v>905</v>
      </c>
      <c r="D30" s="26">
        <f>COUNTIF(Sheet2!I:I, 표1_3[[#This Row],[등록번호]])</f>
        <v>0</v>
      </c>
      <c r="E30" s="26" t="s">
        <v>21</v>
      </c>
      <c r="F30" s="36" t="s">
        <v>904</v>
      </c>
      <c r="G30" s="26" t="s">
        <v>903</v>
      </c>
      <c r="H30" s="26" t="s">
        <v>33</v>
      </c>
      <c r="I30" s="26" t="s">
        <v>784</v>
      </c>
      <c r="J30" s="26" t="s">
        <v>785</v>
      </c>
      <c r="K30" s="26" t="s">
        <v>902</v>
      </c>
      <c r="L30" s="26" t="s">
        <v>901</v>
      </c>
      <c r="M30" s="26" t="s">
        <v>779</v>
      </c>
      <c r="N30" s="26" t="s">
        <v>888</v>
      </c>
      <c r="O30" s="26" t="s">
        <v>694</v>
      </c>
      <c r="P30" s="28">
        <f>COUNTA(_xlfn.TEXTSPLIT(표1_3[[#This Row],[발명자]], "|"))</f>
        <v>7</v>
      </c>
      <c r="Q30" s="29">
        <f>1/표1_3[[#This Row],[발명자수]]</f>
        <v>0.14285714285714285</v>
      </c>
      <c r="R30" s="28">
        <f>300*표1_3[[#This Row],[반영비율]]</f>
        <v>42.857142857142854</v>
      </c>
    </row>
    <row r="31" spans="1:18" ht="17" customHeight="1">
      <c r="A31" s="27">
        <v>30</v>
      </c>
      <c r="B31" s="26" t="s">
        <v>18</v>
      </c>
      <c r="C31" s="26" t="s">
        <v>114</v>
      </c>
      <c r="D31" s="26">
        <f>COUNTIF(Sheet2!I:I, 표1_3[[#This Row],[등록번호]])</f>
        <v>1</v>
      </c>
      <c r="E31" s="26" t="s">
        <v>21</v>
      </c>
      <c r="F31" s="36" t="s">
        <v>120</v>
      </c>
      <c r="G31" s="26" t="s">
        <v>121</v>
      </c>
      <c r="H31" s="26" t="s">
        <v>33</v>
      </c>
      <c r="I31" s="26" t="s">
        <v>122</v>
      </c>
      <c r="J31" s="26" t="s">
        <v>123</v>
      </c>
      <c r="K31" s="26" t="s">
        <v>124</v>
      </c>
      <c r="L31" s="26" t="s">
        <v>125</v>
      </c>
      <c r="M31" s="26" t="s">
        <v>115</v>
      </c>
      <c r="N31" s="26" t="s">
        <v>888</v>
      </c>
      <c r="O31" s="26" t="s">
        <v>126</v>
      </c>
      <c r="P31" s="28">
        <f>COUNTA(_xlfn.TEXTSPLIT(표1_3[[#This Row],[발명자]], "|"))</f>
        <v>7</v>
      </c>
      <c r="Q31" s="29">
        <f>1/표1_3[[#This Row],[발명자수]]</f>
        <v>0.14285714285714285</v>
      </c>
      <c r="R31" s="28">
        <f>300*표1_3[[#This Row],[반영비율]]</f>
        <v>42.857142857142854</v>
      </c>
    </row>
    <row r="32" spans="1:18" ht="17" customHeight="1">
      <c r="A32" s="27">
        <v>31</v>
      </c>
      <c r="B32" s="26" t="s">
        <v>18</v>
      </c>
      <c r="C32" s="26" t="s">
        <v>44</v>
      </c>
      <c r="D32" s="26">
        <f>COUNTIF(Sheet2!I:I, 표1_3[[#This Row],[등록번호]])</f>
        <v>1</v>
      </c>
      <c r="E32" s="26" t="s">
        <v>21</v>
      </c>
      <c r="F32" s="36" t="s">
        <v>131</v>
      </c>
      <c r="G32" s="26" t="s">
        <v>132</v>
      </c>
      <c r="H32" s="26" t="s">
        <v>33</v>
      </c>
      <c r="I32" s="26" t="s">
        <v>133</v>
      </c>
      <c r="J32" s="26" t="s">
        <v>134</v>
      </c>
      <c r="K32" s="26" t="s">
        <v>135</v>
      </c>
      <c r="L32" s="26" t="s">
        <v>136</v>
      </c>
      <c r="M32" s="26" t="s">
        <v>127</v>
      </c>
      <c r="N32" s="26" t="s">
        <v>888</v>
      </c>
      <c r="O32" s="26" t="s">
        <v>52</v>
      </c>
      <c r="P32" s="28">
        <f>COUNTA(_xlfn.TEXTSPLIT(표1_3[[#This Row],[발명자]], "|"))</f>
        <v>6</v>
      </c>
      <c r="Q32" s="29">
        <f>1/표1_3[[#This Row],[발명자수]]</f>
        <v>0.16666666666666666</v>
      </c>
      <c r="R32" s="28">
        <f>300*표1_3[[#This Row],[반영비율]]</f>
        <v>50</v>
      </c>
    </row>
    <row r="33" spans="1:18" ht="17" customHeight="1">
      <c r="A33" s="27">
        <v>33</v>
      </c>
      <c r="B33" s="26" t="s">
        <v>18</v>
      </c>
      <c r="C33" s="26" t="s">
        <v>149</v>
      </c>
      <c r="D33" s="26">
        <f>COUNTIF(Sheet2!I:I, 표1_3[[#This Row],[등록번호]])</f>
        <v>0</v>
      </c>
      <c r="E33" s="26" t="s">
        <v>21</v>
      </c>
      <c r="F33" s="36" t="s">
        <v>900</v>
      </c>
      <c r="G33" s="26" t="s">
        <v>142</v>
      </c>
      <c r="H33" s="26" t="s">
        <v>33</v>
      </c>
      <c r="I33" s="26" t="s">
        <v>753</v>
      </c>
      <c r="J33" s="26" t="s">
        <v>754</v>
      </c>
      <c r="K33" s="26" t="s">
        <v>899</v>
      </c>
      <c r="L33" s="26" t="s">
        <v>898</v>
      </c>
      <c r="M33" s="26" t="s">
        <v>748</v>
      </c>
      <c r="N33" s="26" t="s">
        <v>888</v>
      </c>
      <c r="O33" s="26" t="s">
        <v>77</v>
      </c>
      <c r="P33" s="28">
        <f>COUNTA(_xlfn.TEXTSPLIT(표1_3[[#This Row],[발명자]], "|"))</f>
        <v>7</v>
      </c>
      <c r="Q33" s="29">
        <f>1/표1_3[[#This Row],[발명자수]]</f>
        <v>0.14285714285714285</v>
      </c>
      <c r="R33" s="28">
        <f>300*표1_3[[#This Row],[반영비율]]</f>
        <v>42.857142857142854</v>
      </c>
    </row>
    <row r="34" spans="1:18" ht="17" customHeight="1">
      <c r="A34" s="27">
        <v>32</v>
      </c>
      <c r="B34" s="26" t="s">
        <v>18</v>
      </c>
      <c r="C34" s="26" t="s">
        <v>102</v>
      </c>
      <c r="D34" s="26">
        <f>COUNTIF(Sheet2!I:I, 표1_3[[#This Row],[등록번호]])</f>
        <v>1</v>
      </c>
      <c r="E34" s="26" t="s">
        <v>21</v>
      </c>
      <c r="F34" s="36" t="s">
        <v>141</v>
      </c>
      <c r="G34" s="26" t="s">
        <v>142</v>
      </c>
      <c r="H34" s="26" t="s">
        <v>33</v>
      </c>
      <c r="I34" s="26" t="s">
        <v>32</v>
      </c>
      <c r="J34" s="26" t="s">
        <v>32</v>
      </c>
      <c r="K34" s="26" t="s">
        <v>32</v>
      </c>
      <c r="L34" s="26" t="s">
        <v>32</v>
      </c>
      <c r="M34" s="26" t="s">
        <v>103</v>
      </c>
      <c r="N34" s="26" t="s">
        <v>887</v>
      </c>
      <c r="O34" s="26" t="s">
        <v>64</v>
      </c>
      <c r="P34" s="28">
        <f>COUNTA(_xlfn.TEXTSPLIT(표1_3[[#This Row],[발명자]], "|"))</f>
        <v>6</v>
      </c>
      <c r="Q34" s="29">
        <f>1/표1_3[[#This Row],[발명자수]]</f>
        <v>0.16666666666666666</v>
      </c>
      <c r="R34" s="28">
        <f>300*표1_3[[#This Row],[반영비율]]</f>
        <v>50</v>
      </c>
    </row>
    <row r="35" spans="1:18" ht="17" customHeight="1">
      <c r="A35" s="27">
        <v>34</v>
      </c>
      <c r="B35" s="26" t="s">
        <v>18</v>
      </c>
      <c r="C35" s="26" t="s">
        <v>897</v>
      </c>
      <c r="D35" s="26">
        <f>COUNTIF(Sheet2!I:I, 표1_3[[#This Row],[등록번호]])</f>
        <v>0</v>
      </c>
      <c r="E35" s="26" t="s">
        <v>21</v>
      </c>
      <c r="F35" s="36" t="s">
        <v>896</v>
      </c>
      <c r="G35" s="26" t="s">
        <v>895</v>
      </c>
      <c r="H35" s="26" t="s">
        <v>33</v>
      </c>
      <c r="I35" s="26" t="s">
        <v>766</v>
      </c>
      <c r="J35" s="26" t="s">
        <v>767</v>
      </c>
      <c r="K35" s="26" t="s">
        <v>894</v>
      </c>
      <c r="L35" s="26" t="s">
        <v>511</v>
      </c>
      <c r="M35" s="26" t="s">
        <v>762</v>
      </c>
      <c r="N35" s="26" t="s">
        <v>887</v>
      </c>
      <c r="O35" s="26" t="s">
        <v>893</v>
      </c>
      <c r="P35" s="28">
        <f>COUNTA(_xlfn.TEXTSPLIT(표1_3[[#This Row],[발명자]], "|"))</f>
        <v>6</v>
      </c>
      <c r="Q35" s="29">
        <f>1/표1_3[[#This Row],[발명자수]]</f>
        <v>0.16666666666666666</v>
      </c>
      <c r="R35" s="28">
        <f>300*표1_3[[#This Row],[반영비율]]</f>
        <v>50</v>
      </c>
    </row>
    <row r="36" spans="1:18" ht="17" customHeight="1">
      <c r="A36" s="27">
        <v>36</v>
      </c>
      <c r="B36" s="26" t="s">
        <v>18</v>
      </c>
      <c r="C36" s="26" t="s">
        <v>44</v>
      </c>
      <c r="D36" s="26">
        <f>COUNTIF(Sheet2!I:I, 표1_3[[#This Row],[등록번호]])</f>
        <v>1</v>
      </c>
      <c r="E36" s="26" t="s">
        <v>21</v>
      </c>
      <c r="F36" s="36" t="s">
        <v>147</v>
      </c>
      <c r="G36" s="26" t="s">
        <v>148</v>
      </c>
      <c r="H36" s="26" t="s">
        <v>33</v>
      </c>
      <c r="I36" s="26" t="s">
        <v>32</v>
      </c>
      <c r="J36" s="26" t="s">
        <v>32</v>
      </c>
      <c r="K36" s="26" t="s">
        <v>32</v>
      </c>
      <c r="L36" s="26" t="s">
        <v>32</v>
      </c>
      <c r="M36" s="26" t="s">
        <v>127</v>
      </c>
      <c r="N36" s="26" t="s">
        <v>888</v>
      </c>
      <c r="O36" s="26" t="s">
        <v>52</v>
      </c>
      <c r="P36" s="28">
        <f>COUNTA(_xlfn.TEXTSPLIT(표1_3[[#This Row],[발명자]], "|"))</f>
        <v>6</v>
      </c>
      <c r="Q36" s="29">
        <f>1/표1_3[[#This Row],[발명자수]]</f>
        <v>0.16666666666666666</v>
      </c>
      <c r="R36" s="28">
        <f>300*표1_3[[#This Row],[반영비율]]</f>
        <v>50</v>
      </c>
    </row>
    <row r="37" spans="1:18" ht="17" customHeight="1">
      <c r="A37" s="27">
        <v>35</v>
      </c>
      <c r="B37" s="26" t="s">
        <v>18</v>
      </c>
      <c r="C37" s="26" t="s">
        <v>149</v>
      </c>
      <c r="D37" s="26">
        <f>COUNTIF(Sheet2!I:I, 표1_3[[#This Row],[등록번호]])</f>
        <v>1</v>
      </c>
      <c r="E37" s="26" t="s">
        <v>21</v>
      </c>
      <c r="F37" s="36" t="s">
        <v>155</v>
      </c>
      <c r="G37" s="26" t="s">
        <v>148</v>
      </c>
      <c r="H37" s="26" t="s">
        <v>33</v>
      </c>
      <c r="I37" s="26" t="s">
        <v>32</v>
      </c>
      <c r="J37" s="26" t="s">
        <v>32</v>
      </c>
      <c r="K37" s="26" t="s">
        <v>32</v>
      </c>
      <c r="L37" s="26" t="s">
        <v>32</v>
      </c>
      <c r="M37" s="26" t="s">
        <v>150</v>
      </c>
      <c r="N37" s="26" t="s">
        <v>888</v>
      </c>
      <c r="O37" s="26" t="s">
        <v>77</v>
      </c>
      <c r="P37" s="28">
        <f>COUNTA(_xlfn.TEXTSPLIT(표1_3[[#This Row],[발명자]], "|"))</f>
        <v>7</v>
      </c>
      <c r="Q37" s="29">
        <f>1/표1_3[[#This Row],[발명자수]]</f>
        <v>0.14285714285714285</v>
      </c>
      <c r="R37" s="28">
        <f>300*표1_3[[#This Row],[반영비율]]</f>
        <v>42.857142857142854</v>
      </c>
    </row>
    <row r="38" spans="1:18" ht="17" customHeight="1">
      <c r="A38" s="27">
        <v>38</v>
      </c>
      <c r="B38" s="26" t="s">
        <v>18</v>
      </c>
      <c r="C38" s="26" t="s">
        <v>156</v>
      </c>
      <c r="D38" s="26">
        <f>COUNTIF(Sheet2!I:I, 표1_3[[#This Row],[등록번호]])</f>
        <v>1</v>
      </c>
      <c r="E38" s="26" t="s">
        <v>21</v>
      </c>
      <c r="F38" s="36" t="s">
        <v>162</v>
      </c>
      <c r="G38" s="26" t="s">
        <v>163</v>
      </c>
      <c r="H38" s="26" t="s">
        <v>33</v>
      </c>
      <c r="I38" s="26" t="s">
        <v>164</v>
      </c>
      <c r="J38" s="26" t="s">
        <v>165</v>
      </c>
      <c r="K38" s="26" t="s">
        <v>166</v>
      </c>
      <c r="L38" s="26" t="s">
        <v>167</v>
      </c>
      <c r="M38" s="26" t="s">
        <v>157</v>
      </c>
      <c r="N38" s="26" t="s">
        <v>887</v>
      </c>
      <c r="O38" s="26" t="s">
        <v>43</v>
      </c>
      <c r="P38" s="28">
        <f>COUNTA(_xlfn.TEXTSPLIT(표1_3[[#This Row],[발명자]], "|"))</f>
        <v>7</v>
      </c>
      <c r="Q38" s="29">
        <f>1/표1_3[[#This Row],[발명자수]]</f>
        <v>0.14285714285714285</v>
      </c>
      <c r="R38" s="28">
        <f>300*표1_3[[#This Row],[반영비율]]</f>
        <v>42.857142857142854</v>
      </c>
    </row>
    <row r="39" spans="1:18" ht="17" customHeight="1">
      <c r="A39" s="27">
        <v>37</v>
      </c>
      <c r="B39" s="26" t="s">
        <v>18</v>
      </c>
      <c r="C39" s="26" t="s">
        <v>168</v>
      </c>
      <c r="D39" s="26">
        <f>COUNTIF(Sheet2!I:I, 표1_3[[#This Row],[등록번호]])</f>
        <v>1</v>
      </c>
      <c r="E39" s="26" t="s">
        <v>21</v>
      </c>
      <c r="F39" s="36" t="s">
        <v>174</v>
      </c>
      <c r="G39" s="26" t="s">
        <v>163</v>
      </c>
      <c r="H39" s="26" t="s">
        <v>33</v>
      </c>
      <c r="I39" s="26" t="s">
        <v>32</v>
      </c>
      <c r="J39" s="26" t="s">
        <v>32</v>
      </c>
      <c r="K39" s="26" t="s">
        <v>32</v>
      </c>
      <c r="L39" s="26" t="s">
        <v>32</v>
      </c>
      <c r="M39" s="26" t="s">
        <v>169</v>
      </c>
      <c r="N39" s="26" t="s">
        <v>887</v>
      </c>
      <c r="O39" s="26" t="s">
        <v>175</v>
      </c>
      <c r="P39" s="28">
        <f>COUNTA(_xlfn.TEXTSPLIT(표1_3[[#This Row],[발명자]], "|"))</f>
        <v>5</v>
      </c>
      <c r="Q39" s="29">
        <f>1/표1_3[[#This Row],[발명자수]]</f>
        <v>0.2</v>
      </c>
      <c r="R39" s="28">
        <f>300*표1_3[[#This Row],[반영비율]]</f>
        <v>60</v>
      </c>
    </row>
    <row r="40" spans="1:18" ht="17" customHeight="1">
      <c r="A40" s="27">
        <v>39</v>
      </c>
      <c r="B40" s="26" t="s">
        <v>18</v>
      </c>
      <c r="C40" s="26" t="s">
        <v>176</v>
      </c>
      <c r="D40" s="26">
        <f>COUNTIF(Sheet2!I:I, 표1_3[[#This Row],[등록번호]])</f>
        <v>1</v>
      </c>
      <c r="E40" s="26" t="s">
        <v>21</v>
      </c>
      <c r="F40" s="36" t="s">
        <v>181</v>
      </c>
      <c r="G40" s="26" t="s">
        <v>182</v>
      </c>
      <c r="H40" s="26" t="s">
        <v>33</v>
      </c>
      <c r="I40" s="26" t="s">
        <v>32</v>
      </c>
      <c r="J40" s="26" t="s">
        <v>32</v>
      </c>
      <c r="K40" s="26" t="s">
        <v>32</v>
      </c>
      <c r="L40" s="26" t="s">
        <v>32</v>
      </c>
      <c r="M40" s="26" t="s">
        <v>177</v>
      </c>
      <c r="N40" s="26" t="s">
        <v>887</v>
      </c>
      <c r="O40" s="26" t="s">
        <v>43</v>
      </c>
      <c r="P40" s="28">
        <f>COUNTA(_xlfn.TEXTSPLIT(표1_3[[#This Row],[발명자]], "|"))</f>
        <v>7</v>
      </c>
      <c r="Q40" s="29">
        <f>1/표1_3[[#This Row],[발명자수]]</f>
        <v>0.14285714285714285</v>
      </c>
      <c r="R40" s="28">
        <f>300*표1_3[[#This Row],[반영비율]]</f>
        <v>42.857142857142854</v>
      </c>
    </row>
    <row r="41" spans="1:18" ht="17" customHeight="1">
      <c r="A41" s="27">
        <v>40</v>
      </c>
      <c r="B41" s="26" t="s">
        <v>18</v>
      </c>
      <c r="C41" s="26" t="s">
        <v>892</v>
      </c>
      <c r="D41" s="26">
        <f>COUNTIF(Sheet2!I:I, 표1_3[[#This Row],[등록번호]])</f>
        <v>0</v>
      </c>
      <c r="E41" s="26" t="s">
        <v>21</v>
      </c>
      <c r="F41" s="36" t="s">
        <v>891</v>
      </c>
      <c r="G41" s="26" t="s">
        <v>890</v>
      </c>
      <c r="H41" s="26" t="s">
        <v>33</v>
      </c>
      <c r="I41" s="26" t="s">
        <v>32</v>
      </c>
      <c r="J41" s="26" t="s">
        <v>32</v>
      </c>
      <c r="K41" s="26" t="s">
        <v>32</v>
      </c>
      <c r="L41" s="26" t="s">
        <v>32</v>
      </c>
      <c r="M41" s="26" t="s">
        <v>659</v>
      </c>
      <c r="N41" s="26" t="s">
        <v>888</v>
      </c>
      <c r="O41" s="26" t="s">
        <v>64</v>
      </c>
      <c r="P41" s="28">
        <f>COUNTA(_xlfn.TEXTSPLIT(표1_3[[#This Row],[발명자]], "|"))</f>
        <v>6</v>
      </c>
      <c r="Q41" s="29">
        <f>1/표1_3[[#This Row],[발명자수]]</f>
        <v>0.16666666666666666</v>
      </c>
      <c r="R41" s="28">
        <f>300*표1_3[[#This Row],[반영비율]]</f>
        <v>50</v>
      </c>
    </row>
    <row r="42" spans="1:18" ht="17" customHeight="1">
      <c r="A42" s="27">
        <v>41</v>
      </c>
      <c r="B42" s="26" t="s">
        <v>18</v>
      </c>
      <c r="C42" s="26" t="s">
        <v>183</v>
      </c>
      <c r="D42" s="26">
        <f>COUNTIF(Sheet2!I:I, 표1_3[[#This Row],[등록번호]])</f>
        <v>1</v>
      </c>
      <c r="E42" s="26" t="s">
        <v>21</v>
      </c>
      <c r="F42" s="36" t="s">
        <v>189</v>
      </c>
      <c r="G42" s="26" t="s">
        <v>190</v>
      </c>
      <c r="H42" s="26" t="s">
        <v>33</v>
      </c>
      <c r="I42" s="26" t="s">
        <v>191</v>
      </c>
      <c r="J42" s="26" t="s">
        <v>192</v>
      </c>
      <c r="K42" s="26" t="s">
        <v>193</v>
      </c>
      <c r="L42" s="26" t="s">
        <v>194</v>
      </c>
      <c r="M42" s="26" t="s">
        <v>184</v>
      </c>
      <c r="N42" s="26" t="s">
        <v>887</v>
      </c>
      <c r="O42" s="26" t="s">
        <v>101</v>
      </c>
      <c r="P42" s="28">
        <f>COUNTA(_xlfn.TEXTSPLIT(표1_3[[#This Row],[발명자]], "|"))</f>
        <v>6</v>
      </c>
      <c r="Q42" s="29">
        <f>1/표1_3[[#This Row],[발명자수]]</f>
        <v>0.16666666666666666</v>
      </c>
      <c r="R42" s="28">
        <f>300*표1_3[[#This Row],[반영비율]]</f>
        <v>50</v>
      </c>
    </row>
    <row r="43" spans="1:18" ht="17" customHeight="1">
      <c r="A43" s="27">
        <v>42</v>
      </c>
      <c r="B43" s="26" t="s">
        <v>18</v>
      </c>
      <c r="C43" s="26" t="s">
        <v>195</v>
      </c>
      <c r="D43" s="26">
        <f>COUNTIF(Sheet2!I:I, 표1_3[[#This Row],[등록번호]])</f>
        <v>1</v>
      </c>
      <c r="E43" s="26" t="s">
        <v>21</v>
      </c>
      <c r="F43" s="36" t="s">
        <v>201</v>
      </c>
      <c r="G43" s="26" t="s">
        <v>202</v>
      </c>
      <c r="H43" s="26" t="s">
        <v>33</v>
      </c>
      <c r="I43" s="26" t="s">
        <v>203</v>
      </c>
      <c r="J43" s="26" t="s">
        <v>204</v>
      </c>
      <c r="K43" s="26" t="s">
        <v>205</v>
      </c>
      <c r="L43" s="26" t="s">
        <v>206</v>
      </c>
      <c r="M43" s="26" t="s">
        <v>196</v>
      </c>
      <c r="N43" s="26" t="s">
        <v>887</v>
      </c>
      <c r="O43" s="26" t="s">
        <v>207</v>
      </c>
      <c r="P43" s="28">
        <f>COUNTA(_xlfn.TEXTSPLIT(표1_3[[#This Row],[발명자]], "|"))</f>
        <v>6</v>
      </c>
      <c r="Q43" s="29">
        <f>1/표1_3[[#This Row],[발명자수]]</f>
        <v>0.16666666666666666</v>
      </c>
      <c r="R43" s="28">
        <f>300*표1_3[[#This Row],[반영비율]]</f>
        <v>50</v>
      </c>
    </row>
    <row r="44" spans="1:18" ht="17" customHeight="1">
      <c r="A44" s="27">
        <v>43</v>
      </c>
      <c r="B44" s="26" t="s">
        <v>18</v>
      </c>
      <c r="C44" s="26" t="s">
        <v>208</v>
      </c>
      <c r="D44" s="26">
        <f>COUNTIF(Sheet2!I:I, 표1_3[[#This Row],[등록번호]])</f>
        <v>1</v>
      </c>
      <c r="E44" s="26" t="s">
        <v>21</v>
      </c>
      <c r="F44" s="26" t="s">
        <v>214</v>
      </c>
      <c r="G44" s="26" t="s">
        <v>215</v>
      </c>
      <c r="H44" s="26" t="s">
        <v>33</v>
      </c>
      <c r="I44" s="26" t="s">
        <v>216</v>
      </c>
      <c r="J44" s="26" t="s">
        <v>217</v>
      </c>
      <c r="K44" s="26" t="s">
        <v>218</v>
      </c>
      <c r="L44" s="26" t="s">
        <v>219</v>
      </c>
      <c r="M44" s="26" t="s">
        <v>209</v>
      </c>
      <c r="N44" s="26" t="s">
        <v>888</v>
      </c>
      <c r="O44" s="26" t="s">
        <v>220</v>
      </c>
      <c r="P44" s="28">
        <f>COUNTA(_xlfn.TEXTSPLIT(표1_3[[#This Row],[발명자]], "|"))</f>
        <v>5</v>
      </c>
      <c r="Q44" s="29">
        <f>1/표1_3[[#This Row],[발명자수]]</f>
        <v>0.2</v>
      </c>
      <c r="R44" s="28">
        <f>300*표1_3[[#This Row],[반영비율]]</f>
        <v>60</v>
      </c>
    </row>
    <row r="45" spans="1:18" ht="17" customHeight="1">
      <c r="A45" s="27">
        <v>44</v>
      </c>
      <c r="B45" s="26" t="s">
        <v>18</v>
      </c>
      <c r="C45" s="26" t="s">
        <v>221</v>
      </c>
      <c r="D45" s="26">
        <f>COUNTIF(Sheet2!I:I, 표1_3[[#This Row],[등록번호]])</f>
        <v>1</v>
      </c>
      <c r="E45" s="26" t="s">
        <v>21</v>
      </c>
      <c r="F45" s="26" t="s">
        <v>227</v>
      </c>
      <c r="G45" s="26" t="s">
        <v>228</v>
      </c>
      <c r="H45" s="26" t="s">
        <v>33</v>
      </c>
      <c r="I45" s="26" t="s">
        <v>229</v>
      </c>
      <c r="J45" s="26" t="s">
        <v>230</v>
      </c>
      <c r="K45" s="26" t="s">
        <v>231</v>
      </c>
      <c r="L45" s="26" t="s">
        <v>232</v>
      </c>
      <c r="M45" s="26" t="s">
        <v>222</v>
      </c>
      <c r="N45" s="26" t="s">
        <v>887</v>
      </c>
      <c r="O45" s="26" t="s">
        <v>233</v>
      </c>
      <c r="P45" s="28">
        <f>COUNTA(_xlfn.TEXTSPLIT(표1_3[[#This Row],[발명자]], "|"))</f>
        <v>7</v>
      </c>
      <c r="Q45" s="29">
        <f>1/표1_3[[#This Row],[발명자수]]</f>
        <v>0.14285714285714285</v>
      </c>
      <c r="R45" s="28">
        <f>300*표1_3[[#This Row],[반영비율]]</f>
        <v>42.857142857142854</v>
      </c>
    </row>
    <row r="46" spans="1:18" ht="17" customHeight="1">
      <c r="A46" s="27">
        <v>45</v>
      </c>
      <c r="B46" s="26" t="s">
        <v>18</v>
      </c>
      <c r="C46" s="26" t="s">
        <v>234</v>
      </c>
      <c r="D46" s="26">
        <f>COUNTIF(Sheet2!I:I, 표1_3[[#This Row],[등록번호]])</f>
        <v>1</v>
      </c>
      <c r="E46" s="26" t="s">
        <v>21</v>
      </c>
      <c r="F46" s="26" t="s">
        <v>239</v>
      </c>
      <c r="G46" s="26" t="s">
        <v>240</v>
      </c>
      <c r="H46" s="26" t="s">
        <v>33</v>
      </c>
      <c r="I46" s="26" t="s">
        <v>241</v>
      </c>
      <c r="J46" s="26" t="s">
        <v>242</v>
      </c>
      <c r="K46" s="26" t="s">
        <v>243</v>
      </c>
      <c r="L46" s="26" t="s">
        <v>244</v>
      </c>
      <c r="M46" s="26" t="s">
        <v>235</v>
      </c>
      <c r="N46" s="26" t="s">
        <v>887</v>
      </c>
      <c r="O46" s="26" t="s">
        <v>245</v>
      </c>
      <c r="P46" s="28">
        <f>COUNTA(_xlfn.TEXTSPLIT(표1_3[[#This Row],[발명자]], "|"))</f>
        <v>6</v>
      </c>
      <c r="Q46" s="29">
        <f>1/표1_3[[#This Row],[발명자수]]</f>
        <v>0.16666666666666666</v>
      </c>
      <c r="R46" s="28">
        <f>300*표1_3[[#This Row],[반영비율]]</f>
        <v>50</v>
      </c>
    </row>
    <row r="47" spans="1:18" ht="17" customHeight="1">
      <c r="A47" s="27">
        <v>46</v>
      </c>
      <c r="B47" s="26" t="s">
        <v>18</v>
      </c>
      <c r="C47" s="26" t="s">
        <v>246</v>
      </c>
      <c r="D47" s="26">
        <f>COUNTIF(Sheet2!I:I, 표1_3[[#This Row],[등록번호]])</f>
        <v>1</v>
      </c>
      <c r="E47" s="26" t="s">
        <v>21</v>
      </c>
      <c r="F47" s="36" t="s">
        <v>251</v>
      </c>
      <c r="G47" s="26" t="s">
        <v>252</v>
      </c>
      <c r="H47" s="26" t="s">
        <v>257</v>
      </c>
      <c r="I47" s="26" t="s">
        <v>253</v>
      </c>
      <c r="J47" s="26" t="s">
        <v>254</v>
      </c>
      <c r="K47" s="26" t="s">
        <v>255</v>
      </c>
      <c r="L47" s="26" t="s">
        <v>256</v>
      </c>
      <c r="M47" s="26" t="s">
        <v>247</v>
      </c>
      <c r="N47" s="26" t="s">
        <v>889</v>
      </c>
      <c r="O47" s="26" t="s">
        <v>258</v>
      </c>
      <c r="P47" s="28">
        <f>COUNTA(_xlfn.TEXTSPLIT(표1_3[[#This Row],[발명자]], "|"))</f>
        <v>5</v>
      </c>
      <c r="Q47" s="29">
        <f>1/표1_3[[#This Row],[발명자수]]</f>
        <v>0.2</v>
      </c>
      <c r="R47" s="28">
        <f>300*표1_3[[#This Row],[반영비율]]</f>
        <v>60</v>
      </c>
    </row>
    <row r="48" spans="1:18" ht="17" customHeight="1">
      <c r="A48" s="27">
        <v>47</v>
      </c>
      <c r="B48" s="26" t="s">
        <v>18</v>
      </c>
      <c r="C48" s="26" t="s">
        <v>78</v>
      </c>
      <c r="D48" s="26">
        <f>COUNTIF(Sheet2!I:I, 표1_3[[#This Row],[등록번호]])</f>
        <v>1</v>
      </c>
      <c r="E48" s="26" t="s">
        <v>21</v>
      </c>
      <c r="F48" s="26" t="s">
        <v>262</v>
      </c>
      <c r="G48" s="26" t="s">
        <v>263</v>
      </c>
      <c r="H48" s="26" t="s">
        <v>33</v>
      </c>
      <c r="I48" s="26" t="s">
        <v>32</v>
      </c>
      <c r="J48" s="26" t="s">
        <v>32</v>
      </c>
      <c r="K48" s="26" t="s">
        <v>32</v>
      </c>
      <c r="L48" s="26" t="s">
        <v>32</v>
      </c>
      <c r="M48" s="26" t="s">
        <v>79</v>
      </c>
      <c r="N48" s="26" t="s">
        <v>888</v>
      </c>
      <c r="O48" s="26" t="s">
        <v>52</v>
      </c>
      <c r="P48" s="28">
        <f>COUNTA(_xlfn.TEXTSPLIT(표1_3[[#This Row],[발명자]], "|"))</f>
        <v>6</v>
      </c>
      <c r="Q48" s="29">
        <f>1/표1_3[[#This Row],[발명자수]]</f>
        <v>0.16666666666666666</v>
      </c>
      <c r="R48" s="28">
        <f>300*표1_3[[#This Row],[반영비율]]</f>
        <v>50</v>
      </c>
    </row>
    <row r="49" spans="1:18" ht="17" customHeight="1">
      <c r="A49" s="27">
        <v>48</v>
      </c>
      <c r="B49" s="26" t="s">
        <v>18</v>
      </c>
      <c r="C49" s="26" t="s">
        <v>156</v>
      </c>
      <c r="D49" s="26">
        <f>COUNTIF(Sheet2!I:I, 표1_3[[#This Row],[등록번호]])</f>
        <v>1</v>
      </c>
      <c r="E49" s="26" t="s">
        <v>21</v>
      </c>
      <c r="F49" s="26" t="s">
        <v>268</v>
      </c>
      <c r="G49" s="26" t="s">
        <v>269</v>
      </c>
      <c r="H49" s="26" t="s">
        <v>33</v>
      </c>
      <c r="I49" s="26" t="s">
        <v>32</v>
      </c>
      <c r="J49" s="26" t="s">
        <v>32</v>
      </c>
      <c r="K49" s="26" t="s">
        <v>32</v>
      </c>
      <c r="L49" s="26" t="s">
        <v>32</v>
      </c>
      <c r="M49" s="26" t="s">
        <v>157</v>
      </c>
      <c r="N49" s="26" t="s">
        <v>887</v>
      </c>
      <c r="O49" s="26" t="s">
        <v>43</v>
      </c>
      <c r="P49" s="28">
        <f>COUNTA(_xlfn.TEXTSPLIT(표1_3[[#This Row],[발명자]], "|"))</f>
        <v>7</v>
      </c>
      <c r="Q49" s="29">
        <f>1/표1_3[[#This Row],[발명자수]]</f>
        <v>0.14285714285714285</v>
      </c>
      <c r="R49" s="28">
        <f>300*표1_3[[#This Row],[반영비율]]</f>
        <v>42.857142857142854</v>
      </c>
    </row>
    <row r="50" spans="1:18" ht="17" customHeight="1">
      <c r="A50" s="27">
        <v>49</v>
      </c>
      <c r="B50" s="26" t="s">
        <v>18</v>
      </c>
      <c r="C50" s="26" t="s">
        <v>270</v>
      </c>
      <c r="D50" s="26">
        <f>COUNTIF(Sheet2!I:I, 표1_3[[#This Row],[등록번호]])</f>
        <v>1</v>
      </c>
      <c r="E50" s="26" t="s">
        <v>21</v>
      </c>
      <c r="F50" s="26" t="s">
        <v>276</v>
      </c>
      <c r="G50" s="26" t="s">
        <v>277</v>
      </c>
      <c r="H50" s="26" t="s">
        <v>33</v>
      </c>
      <c r="I50" s="26" t="s">
        <v>278</v>
      </c>
      <c r="J50" s="26" t="s">
        <v>279</v>
      </c>
      <c r="K50" s="26" t="s">
        <v>280</v>
      </c>
      <c r="L50" s="26" t="s">
        <v>206</v>
      </c>
      <c r="M50" s="26" t="s">
        <v>271</v>
      </c>
      <c r="N50" s="26" t="s">
        <v>886</v>
      </c>
      <c r="O50" s="26" t="s">
        <v>245</v>
      </c>
      <c r="P50" s="28">
        <f>COUNTA(_xlfn.TEXTSPLIT(표1_3[[#This Row],[발명자]], "|"))</f>
        <v>6</v>
      </c>
      <c r="Q50" s="29">
        <f>1/표1_3[[#This Row],[발명자수]]</f>
        <v>0.16666666666666666</v>
      </c>
      <c r="R50" s="28">
        <f>300*표1_3[[#This Row],[반영비율]]</f>
        <v>50</v>
      </c>
    </row>
    <row r="51" spans="1:18" ht="17" customHeight="1">
      <c r="A51" s="27">
        <v>50</v>
      </c>
      <c r="B51" s="26" t="s">
        <v>18</v>
      </c>
      <c r="C51" s="26" t="s">
        <v>281</v>
      </c>
      <c r="D51" s="26">
        <f>COUNTIF(Sheet2!I:I, 표1_3[[#This Row],[등록번호]])</f>
        <v>1</v>
      </c>
      <c r="E51" s="26" t="s">
        <v>21</v>
      </c>
      <c r="F51" s="36" t="s">
        <v>287</v>
      </c>
      <c r="G51" s="26" t="s">
        <v>288</v>
      </c>
      <c r="H51" s="26" t="s">
        <v>33</v>
      </c>
      <c r="I51" s="26" t="s">
        <v>289</v>
      </c>
      <c r="J51" s="26" t="s">
        <v>290</v>
      </c>
      <c r="K51" s="26" t="s">
        <v>291</v>
      </c>
      <c r="L51" s="26" t="s">
        <v>232</v>
      </c>
      <c r="M51" s="26" t="s">
        <v>282</v>
      </c>
      <c r="N51" s="26" t="s">
        <v>885</v>
      </c>
      <c r="O51" s="26" t="s">
        <v>233</v>
      </c>
      <c r="P51" s="28">
        <f>COUNTA(_xlfn.TEXTSPLIT(표1_3[[#This Row],[발명자]], "|"))</f>
        <v>7</v>
      </c>
      <c r="Q51" s="29">
        <f>1/표1_3[[#This Row],[발명자수]]</f>
        <v>0.14285714285714285</v>
      </c>
      <c r="R51" s="28">
        <f>300*표1_3[[#This Row],[반영비율]]</f>
        <v>42.857142857142854</v>
      </c>
    </row>
    <row r="52" spans="1:18" ht="17" customHeight="1">
      <c r="A52" s="27">
        <v>52</v>
      </c>
      <c r="B52" s="26" t="s">
        <v>18</v>
      </c>
      <c r="C52" s="26" t="s">
        <v>292</v>
      </c>
      <c r="D52" s="26">
        <f>COUNTIF(Sheet2!I:I, 표1_3[[#This Row],[등록번호]])</f>
        <v>1</v>
      </c>
      <c r="E52" s="26" t="s">
        <v>21</v>
      </c>
      <c r="F52" s="36" t="s">
        <v>298</v>
      </c>
      <c r="G52" s="26" t="s">
        <v>299</v>
      </c>
      <c r="H52" s="26" t="s">
        <v>33</v>
      </c>
      <c r="I52" s="26" t="s">
        <v>300</v>
      </c>
      <c r="J52" s="26" t="s">
        <v>301</v>
      </c>
      <c r="K52" s="26" t="s">
        <v>302</v>
      </c>
      <c r="L52" s="26" t="s">
        <v>303</v>
      </c>
      <c r="M52" s="26" t="s">
        <v>293</v>
      </c>
      <c r="N52" s="26" t="s">
        <v>885</v>
      </c>
      <c r="O52" s="26" t="s">
        <v>245</v>
      </c>
      <c r="P52" s="28">
        <f>COUNTA(_xlfn.TEXTSPLIT(표1_3[[#This Row],[발명자]], "|"))</f>
        <v>6</v>
      </c>
      <c r="Q52" s="29">
        <f>1/표1_3[[#This Row],[발명자수]]</f>
        <v>0.16666666666666666</v>
      </c>
      <c r="R52" s="28">
        <f>300*표1_3[[#This Row],[반영비율]]</f>
        <v>50</v>
      </c>
    </row>
    <row r="53" spans="1:18" ht="17" customHeight="1">
      <c r="A53" s="27">
        <v>51</v>
      </c>
      <c r="B53" s="26" t="s">
        <v>18</v>
      </c>
      <c r="C53" s="26" t="s">
        <v>304</v>
      </c>
      <c r="D53" s="26">
        <f>COUNTIF(Sheet2!I:I, 표1_3[[#This Row],[등록번호]])</f>
        <v>1</v>
      </c>
      <c r="E53" s="26" t="s">
        <v>21</v>
      </c>
      <c r="F53" s="36" t="s">
        <v>309</v>
      </c>
      <c r="G53" s="26" t="s">
        <v>299</v>
      </c>
      <c r="H53" s="26" t="s">
        <v>33</v>
      </c>
      <c r="I53" s="26" t="s">
        <v>32</v>
      </c>
      <c r="J53" s="26" t="s">
        <v>32</v>
      </c>
      <c r="K53" s="26" t="s">
        <v>32</v>
      </c>
      <c r="L53" s="26" t="s">
        <v>32</v>
      </c>
      <c r="M53" s="26" t="s">
        <v>305</v>
      </c>
      <c r="N53" s="26" t="s">
        <v>885</v>
      </c>
      <c r="O53" s="26" t="s">
        <v>310</v>
      </c>
      <c r="P53" s="28">
        <f>COUNTA(_xlfn.TEXTSPLIT(표1_3[[#This Row],[발명자]], "|"))</f>
        <v>8</v>
      </c>
      <c r="Q53" s="29">
        <f>1/표1_3[[#This Row],[발명자수]]</f>
        <v>0.125</v>
      </c>
      <c r="R53" s="28">
        <f>300*표1_3[[#This Row],[반영비율]]</f>
        <v>37.5</v>
      </c>
    </row>
    <row r="54" spans="1:18" ht="17" customHeight="1">
      <c r="A54" s="27">
        <v>53</v>
      </c>
      <c r="B54" s="26" t="s">
        <v>18</v>
      </c>
      <c r="C54" s="26" t="s">
        <v>195</v>
      </c>
      <c r="D54" s="26">
        <f>COUNTIF(Sheet2!I:I, 표1_3[[#This Row],[등록번호]])</f>
        <v>1</v>
      </c>
      <c r="E54" s="26" t="s">
        <v>21</v>
      </c>
      <c r="F54" s="36" t="s">
        <v>316</v>
      </c>
      <c r="G54" s="26" t="s">
        <v>317</v>
      </c>
      <c r="H54" s="26" t="s">
        <v>33</v>
      </c>
      <c r="I54" s="26" t="s">
        <v>318</v>
      </c>
      <c r="J54" s="26" t="s">
        <v>319</v>
      </c>
      <c r="K54" s="26" t="s">
        <v>320</v>
      </c>
      <c r="L54" s="26" t="s">
        <v>256</v>
      </c>
      <c r="M54" s="26" t="s">
        <v>311</v>
      </c>
      <c r="N54" s="26" t="s">
        <v>885</v>
      </c>
      <c r="O54" s="26" t="s">
        <v>245</v>
      </c>
      <c r="P54" s="28">
        <f>COUNTA(_xlfn.TEXTSPLIT(표1_3[[#This Row],[발명자]], "|"))</f>
        <v>6</v>
      </c>
      <c r="Q54" s="29">
        <f>1/표1_3[[#This Row],[발명자수]]</f>
        <v>0.16666666666666666</v>
      </c>
      <c r="R54" s="28">
        <f>300*표1_3[[#This Row],[반영비율]]</f>
        <v>50</v>
      </c>
    </row>
    <row r="55" spans="1:18" ht="17" customHeight="1">
      <c r="A55" s="27">
        <v>54</v>
      </c>
      <c r="B55" s="26" t="s">
        <v>18</v>
      </c>
      <c r="C55" s="26" t="s">
        <v>321</v>
      </c>
      <c r="D55" s="26">
        <f>COUNTIF(Sheet2!I:I, 표1_3[[#This Row],[등록번호]])</f>
        <v>1</v>
      </c>
      <c r="E55" s="26" t="s">
        <v>21</v>
      </c>
      <c r="F55" s="36" t="s">
        <v>326</v>
      </c>
      <c r="G55" s="26" t="s">
        <v>327</v>
      </c>
      <c r="H55" s="26" t="s">
        <v>33</v>
      </c>
      <c r="I55" s="26" t="s">
        <v>328</v>
      </c>
      <c r="J55" s="26" t="s">
        <v>329</v>
      </c>
      <c r="K55" s="26" t="s">
        <v>330</v>
      </c>
      <c r="L55" s="26" t="s">
        <v>331</v>
      </c>
      <c r="M55" s="26" t="s">
        <v>322</v>
      </c>
      <c r="N55" s="26" t="s">
        <v>885</v>
      </c>
      <c r="O55" s="26" t="s">
        <v>332</v>
      </c>
      <c r="P55" s="28">
        <f>COUNTA(_xlfn.TEXTSPLIT(표1_3[[#This Row],[발명자]], "|"))</f>
        <v>5</v>
      </c>
      <c r="Q55" s="29">
        <f>1/표1_3[[#This Row],[발명자수]]</f>
        <v>0.2</v>
      </c>
      <c r="R55" s="28">
        <f>300*표1_3[[#This Row],[반영비율]]</f>
        <v>60</v>
      </c>
    </row>
    <row r="56" spans="1:18" ht="17" customHeight="1">
      <c r="A56" s="27">
        <v>55</v>
      </c>
      <c r="B56" s="26" t="s">
        <v>18</v>
      </c>
      <c r="C56" s="26" t="s">
        <v>333</v>
      </c>
      <c r="D56" s="26">
        <f>COUNTIF(Sheet2!I:I, 표1_3[[#This Row],[등록번호]])</f>
        <v>1</v>
      </c>
      <c r="E56" s="26" t="s">
        <v>21</v>
      </c>
      <c r="F56" s="36" t="s">
        <v>339</v>
      </c>
      <c r="G56" s="26" t="s">
        <v>340</v>
      </c>
      <c r="H56" s="26" t="s">
        <v>33</v>
      </c>
      <c r="I56" s="26" t="s">
        <v>341</v>
      </c>
      <c r="J56" s="26" t="s">
        <v>342</v>
      </c>
      <c r="K56" s="26" t="s">
        <v>343</v>
      </c>
      <c r="L56" s="26" t="s">
        <v>232</v>
      </c>
      <c r="M56" s="26" t="s">
        <v>334</v>
      </c>
      <c r="N56" s="26" t="s">
        <v>884</v>
      </c>
      <c r="O56" s="26" t="s">
        <v>233</v>
      </c>
      <c r="P56" s="28">
        <f>COUNTA(_xlfn.TEXTSPLIT(표1_3[[#This Row],[발명자]], "|"))</f>
        <v>7</v>
      </c>
      <c r="Q56" s="29">
        <f>1/표1_3[[#This Row],[발명자수]]</f>
        <v>0.14285714285714285</v>
      </c>
      <c r="R56" s="28">
        <f>300*표1_3[[#This Row],[반영비율]]</f>
        <v>42.857142857142854</v>
      </c>
    </row>
    <row r="57" spans="1:18" ht="17" customHeight="1">
      <c r="A57" s="27">
        <v>56</v>
      </c>
      <c r="B57" s="26" t="s">
        <v>18</v>
      </c>
      <c r="C57" s="26" t="s">
        <v>195</v>
      </c>
      <c r="D57" s="26">
        <f>COUNTIF(Sheet2!I:I, 표1_3[[#This Row],[등록번호]])</f>
        <v>1</v>
      </c>
      <c r="E57" s="26" t="s">
        <v>21</v>
      </c>
      <c r="F57" s="36" t="s">
        <v>349</v>
      </c>
      <c r="G57" s="26" t="s">
        <v>350</v>
      </c>
      <c r="H57" s="26" t="s">
        <v>33</v>
      </c>
      <c r="I57" s="26" t="s">
        <v>351</v>
      </c>
      <c r="J57" s="26" t="s">
        <v>352</v>
      </c>
      <c r="K57" s="26" t="s">
        <v>353</v>
      </c>
      <c r="L57" s="26" t="s">
        <v>354</v>
      </c>
      <c r="M57" s="26" t="s">
        <v>344</v>
      </c>
      <c r="N57" s="26" t="s">
        <v>884</v>
      </c>
      <c r="O57" s="26" t="s">
        <v>355</v>
      </c>
      <c r="P57" s="22">
        <f>COUNTA(_xlfn.TEXTSPLIT(표1_3[[#This Row],[발명자]], "|"))</f>
        <v>7</v>
      </c>
      <c r="Q57" s="25">
        <f>1/표1_3[[#This Row],[발명자수]]</f>
        <v>0.14285714285714285</v>
      </c>
      <c r="R57" s="22">
        <f>300*표1_3[[#This Row],[반영비율]]</f>
        <v>42.857142857142854</v>
      </c>
    </row>
    <row r="58" spans="1:18" ht="17" customHeight="1">
      <c r="A58" s="24"/>
      <c r="B58" s="22"/>
      <c r="C58" s="22"/>
      <c r="D58" s="22"/>
      <c r="E58" s="22"/>
      <c r="F58" s="22"/>
      <c r="G58" s="22"/>
      <c r="H58" s="22"/>
      <c r="I58" s="22"/>
      <c r="J58" s="22"/>
      <c r="K58" s="22"/>
      <c r="L58" s="22"/>
      <c r="M58" s="22"/>
      <c r="N58" s="22"/>
      <c r="O58" s="22"/>
      <c r="P58" s="22"/>
      <c r="Q58" s="23"/>
      <c r="R58" s="22">
        <f>SUM(표1_3[점수])</f>
        <v>2676.071428571428</v>
      </c>
    </row>
  </sheetData>
  <phoneticPr fontId="4" type="noConversion"/>
  <pageMargins left="0.7" right="0.7" top="0.75" bottom="0.75" header="0.3" footer="0.3"/>
  <pageSetup orientation="portrait" horizontalDpi="4294967295" verticalDpi="4294967295"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8D444-595B-4C24-ABD5-2036CC4CBCCC}">
  <dimension ref="A1:V100"/>
  <sheetViews>
    <sheetView zoomScale="80" zoomScaleNormal="80" workbookViewId="0">
      <pane xSplit="3" topLeftCell="D1" activePane="topRight" state="frozen"/>
      <selection pane="topRight" activeCell="A6" sqref="A6"/>
    </sheetView>
  </sheetViews>
  <sheetFormatPr defaultRowHeight="17"/>
  <cols>
    <col min="1" max="2" width="3.5" customWidth="1"/>
    <col min="3" max="3" width="45.4140625" customWidth="1"/>
    <col min="4" max="4" width="8.83203125" bestFit="1" customWidth="1"/>
    <col min="5" max="5" width="9.58203125" hidden="1" customWidth="1"/>
    <col min="6" max="6" width="9.6640625" hidden="1" customWidth="1"/>
    <col min="7" max="7" width="11.33203125" hidden="1" customWidth="1"/>
    <col min="8" max="8" width="9.6640625" hidden="1" customWidth="1"/>
    <col min="9" max="9" width="9.58203125" customWidth="1"/>
    <col min="10" max="10" width="9.6640625" bestFit="1" customWidth="1"/>
    <col min="11" max="11" width="11.33203125" hidden="1" customWidth="1"/>
    <col min="12" max="12" width="17.33203125" hidden="1" customWidth="1"/>
    <col min="13" max="13" width="13.08203125" hidden="1" customWidth="1"/>
    <col min="14" max="14" width="13.25" hidden="1" customWidth="1"/>
    <col min="15" max="15" width="13.08203125" hidden="1" customWidth="1"/>
    <col min="16" max="16" width="19.4140625" customWidth="1"/>
    <col min="17" max="17" width="84.4140625" bestFit="1" customWidth="1"/>
    <col min="18" max="18" width="84.4140625" customWidth="1"/>
    <col min="19" max="19" width="60.33203125" hidden="1" customWidth="1"/>
  </cols>
  <sheetData>
    <row r="1" spans="1:22">
      <c r="A1" s="4" t="s">
        <v>0</v>
      </c>
      <c r="B1" s="5" t="s">
        <v>1</v>
      </c>
      <c r="C1" s="5" t="s">
        <v>2</v>
      </c>
      <c r="D1" s="5" t="s">
        <v>4</v>
      </c>
      <c r="E1" s="5" t="s">
        <v>5</v>
      </c>
      <c r="F1" s="5" t="s">
        <v>6</v>
      </c>
      <c r="G1" s="5" t="s">
        <v>7</v>
      </c>
      <c r="H1" s="5" t="s">
        <v>8</v>
      </c>
      <c r="I1" s="5" t="s">
        <v>9</v>
      </c>
      <c r="J1" s="5" t="s">
        <v>10</v>
      </c>
      <c r="K1" s="5" t="s">
        <v>11</v>
      </c>
      <c r="L1" s="5" t="s">
        <v>12</v>
      </c>
      <c r="M1" s="5" t="s">
        <v>13</v>
      </c>
      <c r="N1" s="5" t="s">
        <v>14</v>
      </c>
      <c r="O1" s="5" t="s">
        <v>15</v>
      </c>
      <c r="P1" s="5" t="s">
        <v>16</v>
      </c>
      <c r="Q1" s="5" t="s">
        <v>17</v>
      </c>
      <c r="R1" s="6" t="s">
        <v>850</v>
      </c>
      <c r="S1" s="6" t="s">
        <v>3</v>
      </c>
      <c r="T1" s="6" t="s">
        <v>849</v>
      </c>
      <c r="U1" s="13" t="s">
        <v>847</v>
      </c>
      <c r="V1" s="13" t="s">
        <v>848</v>
      </c>
    </row>
    <row r="2" spans="1:22">
      <c r="A2" s="2">
        <v>1</v>
      </c>
      <c r="B2" s="1" t="s">
        <v>18</v>
      </c>
      <c r="C2" s="1" t="s">
        <v>19</v>
      </c>
      <c r="D2" s="1" t="s">
        <v>21</v>
      </c>
      <c r="E2" s="1" t="s">
        <v>22</v>
      </c>
      <c r="F2" s="1" t="s">
        <v>23</v>
      </c>
      <c r="G2" s="1" t="s">
        <v>24</v>
      </c>
      <c r="H2" s="1" t="s">
        <v>25</v>
      </c>
      <c r="I2" s="1" t="s">
        <v>26</v>
      </c>
      <c r="J2" s="1" t="s">
        <v>27</v>
      </c>
      <c r="K2" s="1" t="s">
        <v>26</v>
      </c>
      <c r="L2" s="1" t="s">
        <v>28</v>
      </c>
      <c r="M2" s="1" t="s">
        <v>29</v>
      </c>
      <c r="N2" s="1" t="s">
        <v>30</v>
      </c>
      <c r="O2" s="1" t="s">
        <v>31</v>
      </c>
      <c r="P2" s="1" t="s">
        <v>33</v>
      </c>
      <c r="Q2" s="1" t="s">
        <v>34</v>
      </c>
      <c r="R2" t="s">
        <v>851</v>
      </c>
      <c r="S2" s="3" t="s">
        <v>20</v>
      </c>
      <c r="T2" s="20">
        <f t="shared" ref="T2:T33" si="0">COUNTA(_xlfn.TEXTSPLIT(Q2, "|"))</f>
        <v>7</v>
      </c>
      <c r="U2" s="18">
        <f t="shared" ref="U2:U33" si="1">_xlfn.LET(
    _xlpm.authors, _xlfn.TEXTSPLIT(Q2, "|"),
    _xlpm.countAuthors, COUNTA(_xlpm.authors),
    _xlpm.ratio, 1 / _xlpm.countAuthors,
    _xlpm.ratio
)</f>
        <v>0.14285714285714285</v>
      </c>
      <c r="V2" s="11">
        <f>300*표1[[#This Row],[열1]]</f>
        <v>42.857142857142854</v>
      </c>
    </row>
    <row r="3" spans="1:22">
      <c r="A3" s="2">
        <v>2</v>
      </c>
      <c r="B3" s="1" t="s">
        <v>18</v>
      </c>
      <c r="C3" s="1" t="s">
        <v>35</v>
      </c>
      <c r="D3" s="1" t="s">
        <v>21</v>
      </c>
      <c r="E3" s="1" t="s">
        <v>37</v>
      </c>
      <c r="F3" s="1" t="s">
        <v>38</v>
      </c>
      <c r="G3" s="1" t="s">
        <v>39</v>
      </c>
      <c r="H3" s="1" t="s">
        <v>40</v>
      </c>
      <c r="I3" s="1" t="s">
        <v>41</v>
      </c>
      <c r="J3" s="1" t="s">
        <v>42</v>
      </c>
      <c r="K3" s="1" t="s">
        <v>41</v>
      </c>
      <c r="L3" s="1" t="s">
        <v>32</v>
      </c>
      <c r="M3" s="1" t="s">
        <v>32</v>
      </c>
      <c r="N3" s="1" t="s">
        <v>32</v>
      </c>
      <c r="O3" s="1" t="s">
        <v>32</v>
      </c>
      <c r="P3" s="1" t="s">
        <v>33</v>
      </c>
      <c r="Q3" s="1" t="s">
        <v>43</v>
      </c>
      <c r="R3" t="s">
        <v>852</v>
      </c>
      <c r="S3" s="3" t="s">
        <v>36</v>
      </c>
      <c r="T3" s="3">
        <f t="shared" si="0"/>
        <v>7</v>
      </c>
      <c r="U3" s="19">
        <f t="shared" si="1"/>
        <v>0.14285714285714285</v>
      </c>
      <c r="V3" s="10">
        <f>300*표1[[#This Row],[열1]]</f>
        <v>42.857142857142854</v>
      </c>
    </row>
    <row r="4" spans="1:22">
      <c r="A4" s="2">
        <v>3</v>
      </c>
      <c r="B4" s="1" t="s">
        <v>18</v>
      </c>
      <c r="C4" s="1" t="s">
        <v>44</v>
      </c>
      <c r="D4" s="1" t="s">
        <v>21</v>
      </c>
      <c r="E4" s="1" t="s">
        <v>46</v>
      </c>
      <c r="F4" s="1" t="s">
        <v>47</v>
      </c>
      <c r="G4" s="1" t="s">
        <v>48</v>
      </c>
      <c r="H4" s="1" t="s">
        <v>49</v>
      </c>
      <c r="I4" s="1" t="s">
        <v>50</v>
      </c>
      <c r="J4" s="1" t="s">
        <v>51</v>
      </c>
      <c r="K4" s="1" t="s">
        <v>50</v>
      </c>
      <c r="L4" s="1" t="s">
        <v>32</v>
      </c>
      <c r="M4" s="1" t="s">
        <v>32</v>
      </c>
      <c r="N4" s="1" t="s">
        <v>32</v>
      </c>
      <c r="O4" s="1" t="s">
        <v>32</v>
      </c>
      <c r="P4" s="1" t="s">
        <v>33</v>
      </c>
      <c r="Q4" s="1" t="s">
        <v>52</v>
      </c>
      <c r="R4" t="s">
        <v>853</v>
      </c>
      <c r="S4" s="3" t="s">
        <v>45</v>
      </c>
      <c r="T4" s="3">
        <f t="shared" si="0"/>
        <v>6</v>
      </c>
      <c r="U4" s="19">
        <f t="shared" si="1"/>
        <v>0.16666666666666666</v>
      </c>
      <c r="V4" s="10">
        <f>300*표1[[#This Row],[열1]]</f>
        <v>50</v>
      </c>
    </row>
    <row r="5" spans="1:22">
      <c r="A5" s="2">
        <v>4</v>
      </c>
      <c r="B5" s="1" t="s">
        <v>18</v>
      </c>
      <c r="C5" s="1" t="s">
        <v>53</v>
      </c>
      <c r="D5" s="1" t="s">
        <v>21</v>
      </c>
      <c r="E5" s="1" t="s">
        <v>55</v>
      </c>
      <c r="F5" s="1" t="s">
        <v>56</v>
      </c>
      <c r="G5" s="1" t="s">
        <v>57</v>
      </c>
      <c r="H5" s="1" t="s">
        <v>58</v>
      </c>
      <c r="I5" s="1" t="s">
        <v>59</v>
      </c>
      <c r="J5" s="1" t="s">
        <v>51</v>
      </c>
      <c r="K5" s="1" t="s">
        <v>59</v>
      </c>
      <c r="L5" s="1" t="s">
        <v>60</v>
      </c>
      <c r="M5" s="1" t="s">
        <v>61</v>
      </c>
      <c r="N5" s="1" t="s">
        <v>62</v>
      </c>
      <c r="O5" s="1" t="s">
        <v>63</v>
      </c>
      <c r="P5" s="1" t="s">
        <v>33</v>
      </c>
      <c r="Q5" s="1" t="s">
        <v>64</v>
      </c>
      <c r="R5" t="s">
        <v>854</v>
      </c>
      <c r="S5" s="3" t="s">
        <v>54</v>
      </c>
      <c r="T5" s="3">
        <f t="shared" si="0"/>
        <v>6</v>
      </c>
      <c r="U5" s="19">
        <f t="shared" si="1"/>
        <v>0.16666666666666666</v>
      </c>
      <c r="V5" s="10">
        <f>300*표1[[#This Row],[열1]]</f>
        <v>50</v>
      </c>
    </row>
    <row r="6" spans="1:22">
      <c r="A6" s="2">
        <v>5</v>
      </c>
      <c r="B6" s="1" t="s">
        <v>18</v>
      </c>
      <c r="C6" s="1" t="s">
        <v>65</v>
      </c>
      <c r="D6" s="1" t="s">
        <v>21</v>
      </c>
      <c r="E6" s="1" t="s">
        <v>67</v>
      </c>
      <c r="F6" s="1" t="s">
        <v>68</v>
      </c>
      <c r="G6" s="1" t="s">
        <v>69</v>
      </c>
      <c r="H6" s="1" t="s">
        <v>70</v>
      </c>
      <c r="I6" s="1" t="s">
        <v>71</v>
      </c>
      <c r="J6" s="1" t="s">
        <v>72</v>
      </c>
      <c r="K6" s="1" t="s">
        <v>71</v>
      </c>
      <c r="L6" s="1" t="s">
        <v>73</v>
      </c>
      <c r="M6" s="1" t="s">
        <v>74</v>
      </c>
      <c r="N6" s="1" t="s">
        <v>75</v>
      </c>
      <c r="O6" s="1" t="s">
        <v>76</v>
      </c>
      <c r="P6" s="1" t="s">
        <v>33</v>
      </c>
      <c r="Q6" s="1" t="s">
        <v>77</v>
      </c>
      <c r="R6" t="s">
        <v>855</v>
      </c>
      <c r="S6" s="3" t="s">
        <v>66</v>
      </c>
      <c r="T6" s="3">
        <f t="shared" si="0"/>
        <v>7</v>
      </c>
      <c r="U6" s="19">
        <f t="shared" si="1"/>
        <v>0.14285714285714285</v>
      </c>
      <c r="V6" s="10">
        <f>300*표1[[#This Row],[열1]]</f>
        <v>42.857142857142854</v>
      </c>
    </row>
    <row r="7" spans="1:22">
      <c r="A7" s="2">
        <v>6</v>
      </c>
      <c r="B7" s="1" t="s">
        <v>18</v>
      </c>
      <c r="C7" s="1" t="s">
        <v>78</v>
      </c>
      <c r="D7" s="1" t="s">
        <v>21</v>
      </c>
      <c r="E7" s="1" t="s">
        <v>80</v>
      </c>
      <c r="F7" s="1" t="s">
        <v>81</v>
      </c>
      <c r="G7" s="1" t="s">
        <v>82</v>
      </c>
      <c r="H7" s="1" t="s">
        <v>70</v>
      </c>
      <c r="I7" s="1" t="s">
        <v>83</v>
      </c>
      <c r="J7" s="1" t="s">
        <v>84</v>
      </c>
      <c r="K7" s="1" t="s">
        <v>83</v>
      </c>
      <c r="L7" s="1" t="s">
        <v>85</v>
      </c>
      <c r="M7" s="1" t="s">
        <v>86</v>
      </c>
      <c r="N7" s="1" t="s">
        <v>87</v>
      </c>
      <c r="O7" s="1" t="s">
        <v>88</v>
      </c>
      <c r="P7" s="1" t="s">
        <v>33</v>
      </c>
      <c r="Q7" s="1" t="s">
        <v>52</v>
      </c>
      <c r="R7" t="s">
        <v>856</v>
      </c>
      <c r="S7" s="3" t="s">
        <v>79</v>
      </c>
      <c r="T7" s="3">
        <f t="shared" si="0"/>
        <v>6</v>
      </c>
      <c r="U7" s="19">
        <f t="shared" si="1"/>
        <v>0.16666666666666666</v>
      </c>
      <c r="V7" s="10">
        <f>300*표1[[#This Row],[열1]]</f>
        <v>50</v>
      </c>
    </row>
    <row r="8" spans="1:22">
      <c r="A8" s="2">
        <v>7</v>
      </c>
      <c r="B8" s="1" t="s">
        <v>18</v>
      </c>
      <c r="C8" s="1" t="s">
        <v>89</v>
      </c>
      <c r="D8" s="1" t="s">
        <v>21</v>
      </c>
      <c r="E8" s="1" t="s">
        <v>91</v>
      </c>
      <c r="F8" s="1" t="s">
        <v>92</v>
      </c>
      <c r="G8" s="1" t="s">
        <v>93</v>
      </c>
      <c r="H8" s="1" t="s">
        <v>94</v>
      </c>
      <c r="I8" s="1" t="s">
        <v>95</v>
      </c>
      <c r="J8" s="1" t="s">
        <v>96</v>
      </c>
      <c r="K8" s="1" t="s">
        <v>95</v>
      </c>
      <c r="L8" s="1" t="s">
        <v>97</v>
      </c>
      <c r="M8" s="1" t="s">
        <v>98</v>
      </c>
      <c r="N8" s="1" t="s">
        <v>99</v>
      </c>
      <c r="O8" s="1" t="s">
        <v>100</v>
      </c>
      <c r="P8" s="1" t="s">
        <v>33</v>
      </c>
      <c r="Q8" s="1" t="s">
        <v>101</v>
      </c>
      <c r="R8" t="s">
        <v>857</v>
      </c>
      <c r="S8" s="3" t="s">
        <v>90</v>
      </c>
      <c r="T8" s="3">
        <f t="shared" si="0"/>
        <v>6</v>
      </c>
      <c r="U8" s="19">
        <f t="shared" si="1"/>
        <v>0.16666666666666666</v>
      </c>
      <c r="V8" s="10">
        <f>300*표1[[#This Row],[열1]]</f>
        <v>50</v>
      </c>
    </row>
    <row r="9" spans="1:22">
      <c r="A9" s="2">
        <v>8</v>
      </c>
      <c r="B9" s="1" t="s">
        <v>18</v>
      </c>
      <c r="C9" s="1" t="s">
        <v>102</v>
      </c>
      <c r="D9" s="1" t="s">
        <v>21</v>
      </c>
      <c r="E9" s="1" t="s">
        <v>104</v>
      </c>
      <c r="F9" s="1" t="s">
        <v>105</v>
      </c>
      <c r="G9" s="1" t="s">
        <v>106</v>
      </c>
      <c r="H9" s="1" t="s">
        <v>107</v>
      </c>
      <c r="I9" s="1" t="s">
        <v>108</v>
      </c>
      <c r="J9" s="1" t="s">
        <v>109</v>
      </c>
      <c r="K9" s="1" t="s">
        <v>108</v>
      </c>
      <c r="L9" s="1" t="s">
        <v>110</v>
      </c>
      <c r="M9" s="1" t="s">
        <v>111</v>
      </c>
      <c r="N9" s="1" t="s">
        <v>112</v>
      </c>
      <c r="O9" s="1" t="s">
        <v>113</v>
      </c>
      <c r="P9" s="1" t="s">
        <v>33</v>
      </c>
      <c r="Q9" s="1" t="s">
        <v>64</v>
      </c>
      <c r="R9" t="s">
        <v>858</v>
      </c>
      <c r="S9" s="3" t="s">
        <v>103</v>
      </c>
      <c r="T9" s="3">
        <f t="shared" si="0"/>
        <v>6</v>
      </c>
      <c r="U9" s="19">
        <f t="shared" si="1"/>
        <v>0.16666666666666666</v>
      </c>
      <c r="V9" s="10">
        <f>300*표1[[#This Row],[열1]]</f>
        <v>50</v>
      </c>
    </row>
    <row r="10" spans="1:22">
      <c r="A10" s="2">
        <v>9</v>
      </c>
      <c r="B10" s="1" t="s">
        <v>18</v>
      </c>
      <c r="C10" s="1" t="s">
        <v>114</v>
      </c>
      <c r="D10" s="1" t="s">
        <v>21</v>
      </c>
      <c r="E10" s="1" t="s">
        <v>116</v>
      </c>
      <c r="F10" s="1" t="s">
        <v>117</v>
      </c>
      <c r="G10" s="1" t="s">
        <v>118</v>
      </c>
      <c r="H10" s="1" t="s">
        <v>119</v>
      </c>
      <c r="I10" s="1" t="s">
        <v>120</v>
      </c>
      <c r="J10" s="1" t="s">
        <v>121</v>
      </c>
      <c r="K10" s="1" t="s">
        <v>120</v>
      </c>
      <c r="L10" s="1" t="s">
        <v>122</v>
      </c>
      <c r="M10" s="1" t="s">
        <v>123</v>
      </c>
      <c r="N10" s="1" t="s">
        <v>124</v>
      </c>
      <c r="O10" s="1" t="s">
        <v>125</v>
      </c>
      <c r="P10" s="1" t="s">
        <v>33</v>
      </c>
      <c r="Q10" s="1" t="s">
        <v>126</v>
      </c>
      <c r="R10" t="s">
        <v>859</v>
      </c>
      <c r="S10" s="3" t="s">
        <v>115</v>
      </c>
      <c r="T10" s="3">
        <f t="shared" si="0"/>
        <v>7</v>
      </c>
      <c r="U10" s="19">
        <f t="shared" si="1"/>
        <v>0.14285714285714285</v>
      </c>
      <c r="V10" s="10">
        <f>300*표1[[#This Row],[열1]]</f>
        <v>42.857142857142854</v>
      </c>
    </row>
    <row r="11" spans="1:22">
      <c r="A11" s="2">
        <v>10</v>
      </c>
      <c r="B11" s="1" t="s">
        <v>18</v>
      </c>
      <c r="C11" s="1" t="s">
        <v>44</v>
      </c>
      <c r="D11" s="1" t="s">
        <v>21</v>
      </c>
      <c r="E11" s="1" t="s">
        <v>128</v>
      </c>
      <c r="F11" s="1" t="s">
        <v>129</v>
      </c>
      <c r="G11" s="1" t="s">
        <v>130</v>
      </c>
      <c r="H11" s="1" t="s">
        <v>40</v>
      </c>
      <c r="I11" s="1" t="s">
        <v>131</v>
      </c>
      <c r="J11" s="1" t="s">
        <v>132</v>
      </c>
      <c r="K11" s="1" t="s">
        <v>131</v>
      </c>
      <c r="L11" s="1" t="s">
        <v>133</v>
      </c>
      <c r="M11" s="1" t="s">
        <v>134</v>
      </c>
      <c r="N11" s="1" t="s">
        <v>135</v>
      </c>
      <c r="O11" s="1" t="s">
        <v>136</v>
      </c>
      <c r="P11" s="1" t="s">
        <v>33</v>
      </c>
      <c r="Q11" s="1" t="s">
        <v>52</v>
      </c>
      <c r="R11" t="s">
        <v>860</v>
      </c>
      <c r="S11" s="3" t="s">
        <v>127</v>
      </c>
      <c r="T11" s="3">
        <f t="shared" si="0"/>
        <v>6</v>
      </c>
      <c r="U11" s="19">
        <f t="shared" si="1"/>
        <v>0.16666666666666666</v>
      </c>
      <c r="V11" s="10">
        <f>300*표1[[#This Row],[열1]]</f>
        <v>50</v>
      </c>
    </row>
    <row r="12" spans="1:22">
      <c r="A12" s="2">
        <v>11</v>
      </c>
      <c r="B12" s="1" t="s">
        <v>18</v>
      </c>
      <c r="C12" s="1" t="s">
        <v>102</v>
      </c>
      <c r="D12" s="1" t="s">
        <v>21</v>
      </c>
      <c r="E12" s="1" t="s">
        <v>137</v>
      </c>
      <c r="F12" s="1" t="s">
        <v>138</v>
      </c>
      <c r="G12" s="1" t="s">
        <v>139</v>
      </c>
      <c r="H12" s="1" t="s">
        <v>140</v>
      </c>
      <c r="I12" s="1" t="s">
        <v>141</v>
      </c>
      <c r="J12" s="1" t="s">
        <v>142</v>
      </c>
      <c r="K12" s="1" t="s">
        <v>141</v>
      </c>
      <c r="L12" s="1" t="s">
        <v>32</v>
      </c>
      <c r="M12" s="1" t="s">
        <v>32</v>
      </c>
      <c r="N12" s="1" t="s">
        <v>32</v>
      </c>
      <c r="O12" s="1" t="s">
        <v>32</v>
      </c>
      <c r="P12" s="1" t="s">
        <v>33</v>
      </c>
      <c r="Q12" s="1" t="s">
        <v>64</v>
      </c>
      <c r="R12" t="s">
        <v>858</v>
      </c>
      <c r="S12" s="3" t="s">
        <v>103</v>
      </c>
      <c r="T12" s="3">
        <f t="shared" si="0"/>
        <v>6</v>
      </c>
      <c r="U12" s="19">
        <f t="shared" si="1"/>
        <v>0.16666666666666666</v>
      </c>
      <c r="V12" s="10">
        <f>300*표1[[#This Row],[열1]]</f>
        <v>50</v>
      </c>
    </row>
    <row r="13" spans="1:22">
      <c r="A13" s="2">
        <v>12</v>
      </c>
      <c r="B13" s="1" t="s">
        <v>18</v>
      </c>
      <c r="C13" s="1" t="s">
        <v>44</v>
      </c>
      <c r="D13" s="1" t="s">
        <v>21</v>
      </c>
      <c r="E13" s="1" t="s">
        <v>143</v>
      </c>
      <c r="F13" s="1" t="s">
        <v>144</v>
      </c>
      <c r="G13" s="1" t="s">
        <v>145</v>
      </c>
      <c r="H13" s="1" t="s">
        <v>146</v>
      </c>
      <c r="I13" s="1" t="s">
        <v>147</v>
      </c>
      <c r="J13" s="1" t="s">
        <v>148</v>
      </c>
      <c r="K13" s="1" t="s">
        <v>147</v>
      </c>
      <c r="L13" s="1" t="s">
        <v>32</v>
      </c>
      <c r="M13" s="1" t="s">
        <v>32</v>
      </c>
      <c r="N13" s="1" t="s">
        <v>32</v>
      </c>
      <c r="O13" s="1" t="s">
        <v>32</v>
      </c>
      <c r="P13" s="1" t="s">
        <v>33</v>
      </c>
      <c r="Q13" s="1" t="s">
        <v>52</v>
      </c>
      <c r="R13" t="s">
        <v>860</v>
      </c>
      <c r="S13" s="3" t="s">
        <v>127</v>
      </c>
      <c r="T13" s="3">
        <f t="shared" si="0"/>
        <v>6</v>
      </c>
      <c r="U13" s="19">
        <f t="shared" si="1"/>
        <v>0.16666666666666666</v>
      </c>
      <c r="V13" s="10">
        <f>300*표1[[#This Row],[열1]]</f>
        <v>50</v>
      </c>
    </row>
    <row r="14" spans="1:22">
      <c r="A14" s="2">
        <v>13</v>
      </c>
      <c r="B14" s="1" t="s">
        <v>18</v>
      </c>
      <c r="C14" s="1" t="s">
        <v>149</v>
      </c>
      <c r="D14" s="1" t="s">
        <v>21</v>
      </c>
      <c r="E14" s="1" t="s">
        <v>151</v>
      </c>
      <c r="F14" s="1" t="s">
        <v>152</v>
      </c>
      <c r="G14" s="1" t="s">
        <v>153</v>
      </c>
      <c r="H14" s="1" t="s">
        <v>154</v>
      </c>
      <c r="I14" s="1" t="s">
        <v>155</v>
      </c>
      <c r="J14" s="1" t="s">
        <v>148</v>
      </c>
      <c r="K14" s="1" t="s">
        <v>155</v>
      </c>
      <c r="L14" s="1" t="s">
        <v>32</v>
      </c>
      <c r="M14" s="1" t="s">
        <v>32</v>
      </c>
      <c r="N14" s="1" t="s">
        <v>32</v>
      </c>
      <c r="O14" s="1" t="s">
        <v>32</v>
      </c>
      <c r="P14" s="1" t="s">
        <v>33</v>
      </c>
      <c r="Q14" s="1" t="s">
        <v>77</v>
      </c>
      <c r="R14" t="s">
        <v>861</v>
      </c>
      <c r="S14" s="3" t="s">
        <v>150</v>
      </c>
      <c r="T14" s="3">
        <f t="shared" si="0"/>
        <v>7</v>
      </c>
      <c r="U14" s="19">
        <f t="shared" si="1"/>
        <v>0.14285714285714285</v>
      </c>
      <c r="V14" s="10">
        <f>300*표1[[#This Row],[열1]]</f>
        <v>42.857142857142854</v>
      </c>
    </row>
    <row r="15" spans="1:22">
      <c r="A15" s="2">
        <v>14</v>
      </c>
      <c r="B15" s="1" t="s">
        <v>18</v>
      </c>
      <c r="C15" s="1" t="s">
        <v>156</v>
      </c>
      <c r="D15" s="1" t="s">
        <v>21</v>
      </c>
      <c r="E15" s="1" t="s">
        <v>158</v>
      </c>
      <c r="F15" s="1" t="s">
        <v>159</v>
      </c>
      <c r="G15" s="1" t="s">
        <v>160</v>
      </c>
      <c r="H15" s="1" t="s">
        <v>161</v>
      </c>
      <c r="I15" s="1" t="s">
        <v>162</v>
      </c>
      <c r="J15" s="1" t="s">
        <v>163</v>
      </c>
      <c r="K15" s="1" t="s">
        <v>162</v>
      </c>
      <c r="L15" s="1" t="s">
        <v>164</v>
      </c>
      <c r="M15" s="1" t="s">
        <v>165</v>
      </c>
      <c r="N15" s="1" t="s">
        <v>166</v>
      </c>
      <c r="O15" s="1" t="s">
        <v>167</v>
      </c>
      <c r="P15" s="1" t="s">
        <v>33</v>
      </c>
      <c r="Q15" s="1" t="s">
        <v>43</v>
      </c>
      <c r="R15" t="s">
        <v>862</v>
      </c>
      <c r="S15" s="3" t="s">
        <v>157</v>
      </c>
      <c r="T15" s="3">
        <f t="shared" si="0"/>
        <v>7</v>
      </c>
      <c r="U15" s="19">
        <f t="shared" si="1"/>
        <v>0.14285714285714285</v>
      </c>
      <c r="V15" s="10">
        <f>300*표1[[#This Row],[열1]]</f>
        <v>42.857142857142854</v>
      </c>
    </row>
    <row r="16" spans="1:22">
      <c r="A16" s="2">
        <v>15</v>
      </c>
      <c r="B16" s="1" t="s">
        <v>18</v>
      </c>
      <c r="C16" s="1" t="s">
        <v>168</v>
      </c>
      <c r="D16" s="1" t="s">
        <v>21</v>
      </c>
      <c r="E16" s="1" t="s">
        <v>170</v>
      </c>
      <c r="F16" s="1" t="s">
        <v>171</v>
      </c>
      <c r="G16" s="1" t="s">
        <v>172</v>
      </c>
      <c r="H16" s="1" t="s">
        <v>173</v>
      </c>
      <c r="I16" s="1" t="s">
        <v>174</v>
      </c>
      <c r="J16" s="1" t="s">
        <v>163</v>
      </c>
      <c r="K16" s="1" t="s">
        <v>174</v>
      </c>
      <c r="L16" s="1" t="s">
        <v>32</v>
      </c>
      <c r="M16" s="1" t="s">
        <v>32</v>
      </c>
      <c r="N16" s="1" t="s">
        <v>32</v>
      </c>
      <c r="O16" s="1" t="s">
        <v>32</v>
      </c>
      <c r="P16" s="1" t="s">
        <v>33</v>
      </c>
      <c r="Q16" s="1" t="s">
        <v>175</v>
      </c>
      <c r="R16" t="s">
        <v>863</v>
      </c>
      <c r="S16" s="3" t="s">
        <v>169</v>
      </c>
      <c r="T16" s="3">
        <f t="shared" si="0"/>
        <v>5</v>
      </c>
      <c r="U16" s="19">
        <f t="shared" si="1"/>
        <v>0.2</v>
      </c>
      <c r="V16" s="10">
        <f>300*표1[[#This Row],[열1]]</f>
        <v>60</v>
      </c>
    </row>
    <row r="17" spans="1:22">
      <c r="A17" s="2">
        <v>16</v>
      </c>
      <c r="B17" s="1" t="s">
        <v>18</v>
      </c>
      <c r="C17" s="1" t="s">
        <v>176</v>
      </c>
      <c r="D17" s="1" t="s">
        <v>21</v>
      </c>
      <c r="E17" s="1" t="s">
        <v>178</v>
      </c>
      <c r="F17" s="1" t="s">
        <v>179</v>
      </c>
      <c r="G17" s="1" t="s">
        <v>180</v>
      </c>
      <c r="H17" s="1" t="s">
        <v>171</v>
      </c>
      <c r="I17" s="1" t="s">
        <v>181</v>
      </c>
      <c r="J17" s="1" t="s">
        <v>182</v>
      </c>
      <c r="K17" s="1" t="s">
        <v>181</v>
      </c>
      <c r="L17" s="1" t="s">
        <v>32</v>
      </c>
      <c r="M17" s="1" t="s">
        <v>32</v>
      </c>
      <c r="N17" s="1" t="s">
        <v>32</v>
      </c>
      <c r="O17" s="1" t="s">
        <v>32</v>
      </c>
      <c r="P17" s="1" t="s">
        <v>33</v>
      </c>
      <c r="Q17" s="1" t="s">
        <v>43</v>
      </c>
      <c r="R17" t="s">
        <v>864</v>
      </c>
      <c r="S17" s="3" t="s">
        <v>177</v>
      </c>
      <c r="T17" s="3">
        <f t="shared" si="0"/>
        <v>7</v>
      </c>
      <c r="U17" s="19">
        <f t="shared" si="1"/>
        <v>0.14285714285714285</v>
      </c>
      <c r="V17" s="10">
        <f>300*표1[[#This Row],[열1]]</f>
        <v>42.857142857142854</v>
      </c>
    </row>
    <row r="18" spans="1:22">
      <c r="A18" s="2">
        <v>17</v>
      </c>
      <c r="B18" s="1" t="s">
        <v>18</v>
      </c>
      <c r="C18" s="1" t="s">
        <v>183</v>
      </c>
      <c r="D18" s="1" t="s">
        <v>21</v>
      </c>
      <c r="E18" s="1" t="s">
        <v>185</v>
      </c>
      <c r="F18" s="1" t="s">
        <v>186</v>
      </c>
      <c r="G18" s="1" t="s">
        <v>187</v>
      </c>
      <c r="H18" s="1" t="s">
        <v>188</v>
      </c>
      <c r="I18" s="1" t="s">
        <v>189</v>
      </c>
      <c r="J18" s="1" t="s">
        <v>190</v>
      </c>
      <c r="K18" s="1" t="s">
        <v>189</v>
      </c>
      <c r="L18" s="1" t="s">
        <v>191</v>
      </c>
      <c r="M18" s="1" t="s">
        <v>192</v>
      </c>
      <c r="N18" s="1" t="s">
        <v>193</v>
      </c>
      <c r="O18" s="1" t="s">
        <v>194</v>
      </c>
      <c r="P18" s="1" t="s">
        <v>33</v>
      </c>
      <c r="Q18" s="1" t="s">
        <v>101</v>
      </c>
      <c r="R18" t="s">
        <v>865</v>
      </c>
      <c r="S18" s="3" t="s">
        <v>184</v>
      </c>
      <c r="T18" s="3">
        <f t="shared" si="0"/>
        <v>6</v>
      </c>
      <c r="U18" s="19">
        <f t="shared" si="1"/>
        <v>0.16666666666666666</v>
      </c>
      <c r="V18" s="10">
        <f>300*표1[[#This Row],[열1]]</f>
        <v>50</v>
      </c>
    </row>
    <row r="19" spans="1:22">
      <c r="A19" s="2">
        <v>18</v>
      </c>
      <c r="B19" s="1" t="s">
        <v>18</v>
      </c>
      <c r="C19" s="1" t="s">
        <v>195</v>
      </c>
      <c r="D19" s="1" t="s">
        <v>21</v>
      </c>
      <c r="E19" s="1" t="s">
        <v>197</v>
      </c>
      <c r="F19" s="1" t="s">
        <v>198</v>
      </c>
      <c r="G19" s="1" t="s">
        <v>199</v>
      </c>
      <c r="H19" s="1" t="s">
        <v>200</v>
      </c>
      <c r="I19" s="1" t="s">
        <v>201</v>
      </c>
      <c r="J19" s="1" t="s">
        <v>202</v>
      </c>
      <c r="K19" s="1" t="s">
        <v>201</v>
      </c>
      <c r="L19" s="1" t="s">
        <v>203</v>
      </c>
      <c r="M19" s="1" t="s">
        <v>204</v>
      </c>
      <c r="N19" s="1" t="s">
        <v>205</v>
      </c>
      <c r="O19" s="1" t="s">
        <v>206</v>
      </c>
      <c r="P19" s="1" t="s">
        <v>33</v>
      </c>
      <c r="Q19" s="1" t="s">
        <v>207</v>
      </c>
      <c r="R19" t="s">
        <v>866</v>
      </c>
      <c r="S19" s="3" t="s">
        <v>196</v>
      </c>
      <c r="T19" s="3">
        <f t="shared" si="0"/>
        <v>6</v>
      </c>
      <c r="U19" s="19">
        <f t="shared" si="1"/>
        <v>0.16666666666666666</v>
      </c>
      <c r="V19" s="10">
        <f>300*표1[[#This Row],[열1]]</f>
        <v>50</v>
      </c>
    </row>
    <row r="20" spans="1:22">
      <c r="A20" s="2">
        <v>19</v>
      </c>
      <c r="B20" s="1" t="s">
        <v>18</v>
      </c>
      <c r="C20" s="1" t="s">
        <v>208</v>
      </c>
      <c r="D20" s="1" t="s">
        <v>21</v>
      </c>
      <c r="E20" s="1" t="s">
        <v>210</v>
      </c>
      <c r="F20" s="1" t="s">
        <v>211</v>
      </c>
      <c r="G20" s="1" t="s">
        <v>212</v>
      </c>
      <c r="H20" s="1" t="s">
        <v>213</v>
      </c>
      <c r="I20" s="1" t="s">
        <v>214</v>
      </c>
      <c r="J20" s="1" t="s">
        <v>215</v>
      </c>
      <c r="K20" s="1" t="s">
        <v>214</v>
      </c>
      <c r="L20" s="1" t="s">
        <v>216</v>
      </c>
      <c r="M20" s="1" t="s">
        <v>217</v>
      </c>
      <c r="N20" s="1" t="s">
        <v>218</v>
      </c>
      <c r="O20" s="1" t="s">
        <v>219</v>
      </c>
      <c r="P20" s="1" t="s">
        <v>33</v>
      </c>
      <c r="Q20" s="1" t="s">
        <v>220</v>
      </c>
      <c r="R20" t="s">
        <v>867</v>
      </c>
      <c r="S20" s="3" t="s">
        <v>209</v>
      </c>
      <c r="T20" s="3">
        <f t="shared" si="0"/>
        <v>5</v>
      </c>
      <c r="U20" s="19">
        <f t="shared" si="1"/>
        <v>0.2</v>
      </c>
      <c r="V20" s="10">
        <f>300*표1[[#This Row],[열1]]</f>
        <v>60</v>
      </c>
    </row>
    <row r="21" spans="1:22">
      <c r="A21" s="2">
        <v>20</v>
      </c>
      <c r="B21" s="1" t="s">
        <v>18</v>
      </c>
      <c r="C21" s="1" t="s">
        <v>221</v>
      </c>
      <c r="D21" s="1" t="s">
        <v>21</v>
      </c>
      <c r="E21" s="1" t="s">
        <v>223</v>
      </c>
      <c r="F21" s="1" t="s">
        <v>224</v>
      </c>
      <c r="G21" s="1" t="s">
        <v>225</v>
      </c>
      <c r="H21" s="1" t="s">
        <v>226</v>
      </c>
      <c r="I21" s="1" t="s">
        <v>227</v>
      </c>
      <c r="J21" s="1" t="s">
        <v>228</v>
      </c>
      <c r="K21" s="1" t="s">
        <v>227</v>
      </c>
      <c r="L21" s="1" t="s">
        <v>229</v>
      </c>
      <c r="M21" s="1" t="s">
        <v>230</v>
      </c>
      <c r="N21" s="1" t="s">
        <v>231</v>
      </c>
      <c r="O21" s="1" t="s">
        <v>232</v>
      </c>
      <c r="P21" s="1" t="s">
        <v>33</v>
      </c>
      <c r="Q21" s="1" t="s">
        <v>233</v>
      </c>
      <c r="R21" t="s">
        <v>868</v>
      </c>
      <c r="S21" s="3" t="s">
        <v>222</v>
      </c>
      <c r="T21" s="3">
        <f t="shared" si="0"/>
        <v>7</v>
      </c>
      <c r="U21" s="19">
        <f t="shared" si="1"/>
        <v>0.14285714285714285</v>
      </c>
      <c r="V21" s="10">
        <f>300*표1[[#This Row],[열1]]</f>
        <v>42.857142857142854</v>
      </c>
    </row>
    <row r="22" spans="1:22">
      <c r="A22" s="2">
        <v>21</v>
      </c>
      <c r="B22" s="1" t="s">
        <v>18</v>
      </c>
      <c r="C22" s="1" t="s">
        <v>234</v>
      </c>
      <c r="D22" s="1" t="s">
        <v>21</v>
      </c>
      <c r="E22" s="1" t="s">
        <v>236</v>
      </c>
      <c r="F22" s="1" t="s">
        <v>237</v>
      </c>
      <c r="G22" s="1" t="s">
        <v>238</v>
      </c>
      <c r="H22" s="1" t="s">
        <v>226</v>
      </c>
      <c r="I22" s="1" t="s">
        <v>239</v>
      </c>
      <c r="J22" s="1" t="s">
        <v>240</v>
      </c>
      <c r="K22" s="1" t="s">
        <v>239</v>
      </c>
      <c r="L22" s="1" t="s">
        <v>241</v>
      </c>
      <c r="M22" s="1" t="s">
        <v>242</v>
      </c>
      <c r="N22" s="1" t="s">
        <v>243</v>
      </c>
      <c r="O22" s="1" t="s">
        <v>244</v>
      </c>
      <c r="P22" s="1" t="s">
        <v>33</v>
      </c>
      <c r="Q22" s="1" t="s">
        <v>245</v>
      </c>
      <c r="R22" t="s">
        <v>869</v>
      </c>
      <c r="S22" s="3" t="s">
        <v>235</v>
      </c>
      <c r="T22" s="3">
        <f t="shared" si="0"/>
        <v>6</v>
      </c>
      <c r="U22" s="19">
        <f t="shared" si="1"/>
        <v>0.16666666666666666</v>
      </c>
      <c r="V22" s="10">
        <f>300*표1[[#This Row],[열1]]</f>
        <v>50</v>
      </c>
    </row>
    <row r="23" spans="1:22">
      <c r="A23" s="2">
        <v>22</v>
      </c>
      <c r="B23" s="1" t="s">
        <v>18</v>
      </c>
      <c r="C23" s="1" t="s">
        <v>246</v>
      </c>
      <c r="D23" s="1" t="s">
        <v>21</v>
      </c>
      <c r="E23" s="1" t="s">
        <v>248</v>
      </c>
      <c r="F23" s="1" t="s">
        <v>249</v>
      </c>
      <c r="G23" s="1" t="s">
        <v>250</v>
      </c>
      <c r="H23" s="1" t="s">
        <v>58</v>
      </c>
      <c r="I23" s="1" t="s">
        <v>251</v>
      </c>
      <c r="J23" s="1" t="s">
        <v>252</v>
      </c>
      <c r="K23" s="1" t="s">
        <v>251</v>
      </c>
      <c r="L23" s="1" t="s">
        <v>253</v>
      </c>
      <c r="M23" s="1" t="s">
        <v>254</v>
      </c>
      <c r="N23" s="1" t="s">
        <v>255</v>
      </c>
      <c r="O23" s="1" t="s">
        <v>256</v>
      </c>
      <c r="P23" s="1" t="s">
        <v>257</v>
      </c>
      <c r="Q23" s="1" t="s">
        <v>258</v>
      </c>
      <c r="R23" t="s">
        <v>870</v>
      </c>
      <c r="S23" s="3" t="s">
        <v>247</v>
      </c>
      <c r="T23" s="3">
        <f t="shared" si="0"/>
        <v>5</v>
      </c>
      <c r="U23" s="19">
        <f t="shared" si="1"/>
        <v>0.2</v>
      </c>
      <c r="V23" s="10">
        <f>300*표1[[#This Row],[열1]]</f>
        <v>60</v>
      </c>
    </row>
    <row r="24" spans="1:22">
      <c r="A24" s="2">
        <v>23</v>
      </c>
      <c r="B24" s="1" t="s">
        <v>18</v>
      </c>
      <c r="C24" s="1" t="s">
        <v>78</v>
      </c>
      <c r="D24" s="1" t="s">
        <v>21</v>
      </c>
      <c r="E24" s="1" t="s">
        <v>259</v>
      </c>
      <c r="F24" s="1" t="s">
        <v>260</v>
      </c>
      <c r="G24" s="1" t="s">
        <v>261</v>
      </c>
      <c r="H24" s="1" t="s">
        <v>146</v>
      </c>
      <c r="I24" s="1" t="s">
        <v>262</v>
      </c>
      <c r="J24" s="1" t="s">
        <v>263</v>
      </c>
      <c r="K24" s="1" t="s">
        <v>262</v>
      </c>
      <c r="L24" s="1" t="s">
        <v>32</v>
      </c>
      <c r="M24" s="1" t="s">
        <v>32</v>
      </c>
      <c r="N24" s="1" t="s">
        <v>32</v>
      </c>
      <c r="O24" s="1" t="s">
        <v>32</v>
      </c>
      <c r="P24" s="1" t="s">
        <v>33</v>
      </c>
      <c r="Q24" s="1" t="s">
        <v>52</v>
      </c>
      <c r="R24" t="s">
        <v>871</v>
      </c>
      <c r="S24" s="3" t="s">
        <v>79</v>
      </c>
      <c r="T24" s="3">
        <f t="shared" si="0"/>
        <v>6</v>
      </c>
      <c r="U24" s="19">
        <f t="shared" si="1"/>
        <v>0.16666666666666666</v>
      </c>
      <c r="V24" s="10">
        <f>300*표1[[#This Row],[열1]]</f>
        <v>50</v>
      </c>
    </row>
    <row r="25" spans="1:22">
      <c r="A25" s="2">
        <v>24</v>
      </c>
      <c r="B25" s="1" t="s">
        <v>18</v>
      </c>
      <c r="C25" s="1" t="s">
        <v>156</v>
      </c>
      <c r="D25" s="1" t="s">
        <v>21</v>
      </c>
      <c r="E25" s="1" t="s">
        <v>264</v>
      </c>
      <c r="F25" s="1" t="s">
        <v>265</v>
      </c>
      <c r="G25" s="1" t="s">
        <v>266</v>
      </c>
      <c r="H25" s="1" t="s">
        <v>267</v>
      </c>
      <c r="I25" s="1" t="s">
        <v>268</v>
      </c>
      <c r="J25" s="1" t="s">
        <v>269</v>
      </c>
      <c r="K25" s="1" t="s">
        <v>268</v>
      </c>
      <c r="L25" s="1" t="s">
        <v>32</v>
      </c>
      <c r="M25" s="1" t="s">
        <v>32</v>
      </c>
      <c r="N25" s="1" t="s">
        <v>32</v>
      </c>
      <c r="O25" s="1" t="s">
        <v>32</v>
      </c>
      <c r="P25" s="1" t="s">
        <v>33</v>
      </c>
      <c r="Q25" s="1" t="s">
        <v>43</v>
      </c>
      <c r="R25" t="s">
        <v>872</v>
      </c>
      <c r="S25" s="3" t="s">
        <v>157</v>
      </c>
      <c r="T25" s="3">
        <f t="shared" si="0"/>
        <v>7</v>
      </c>
      <c r="U25" s="19">
        <f t="shared" si="1"/>
        <v>0.14285714285714285</v>
      </c>
      <c r="V25" s="10">
        <f>300*표1[[#This Row],[열1]]</f>
        <v>42.857142857142854</v>
      </c>
    </row>
    <row r="26" spans="1:22">
      <c r="A26" s="2">
        <v>25</v>
      </c>
      <c r="B26" s="1" t="s">
        <v>18</v>
      </c>
      <c r="C26" s="1" t="s">
        <v>270</v>
      </c>
      <c r="D26" s="1" t="s">
        <v>21</v>
      </c>
      <c r="E26" s="1" t="s">
        <v>272</v>
      </c>
      <c r="F26" s="1" t="s">
        <v>273</v>
      </c>
      <c r="G26" s="1" t="s">
        <v>274</v>
      </c>
      <c r="H26" s="1" t="s">
        <v>275</v>
      </c>
      <c r="I26" s="1" t="s">
        <v>276</v>
      </c>
      <c r="J26" s="1" t="s">
        <v>277</v>
      </c>
      <c r="K26" s="1" t="s">
        <v>276</v>
      </c>
      <c r="L26" s="1" t="s">
        <v>278</v>
      </c>
      <c r="M26" s="1" t="s">
        <v>279</v>
      </c>
      <c r="N26" s="1" t="s">
        <v>280</v>
      </c>
      <c r="O26" s="1" t="s">
        <v>206</v>
      </c>
      <c r="P26" s="1" t="s">
        <v>33</v>
      </c>
      <c r="Q26" s="1" t="s">
        <v>245</v>
      </c>
      <c r="R26" t="s">
        <v>873</v>
      </c>
      <c r="S26" s="3" t="s">
        <v>271</v>
      </c>
      <c r="T26" s="3">
        <f t="shared" si="0"/>
        <v>6</v>
      </c>
      <c r="U26" s="19">
        <f t="shared" si="1"/>
        <v>0.16666666666666666</v>
      </c>
      <c r="V26" s="10">
        <f>300*표1[[#This Row],[열1]]</f>
        <v>50</v>
      </c>
    </row>
    <row r="27" spans="1:22">
      <c r="A27" s="2">
        <v>26</v>
      </c>
      <c r="B27" s="1" t="s">
        <v>18</v>
      </c>
      <c r="C27" s="1" t="s">
        <v>281</v>
      </c>
      <c r="D27" s="1" t="s">
        <v>21</v>
      </c>
      <c r="E27" s="1" t="s">
        <v>283</v>
      </c>
      <c r="F27" s="1" t="s">
        <v>284</v>
      </c>
      <c r="G27" s="1" t="s">
        <v>285</v>
      </c>
      <c r="H27" s="1" t="s">
        <v>286</v>
      </c>
      <c r="I27" s="1" t="s">
        <v>287</v>
      </c>
      <c r="J27" s="1" t="s">
        <v>288</v>
      </c>
      <c r="K27" s="1" t="s">
        <v>287</v>
      </c>
      <c r="L27" s="1" t="s">
        <v>289</v>
      </c>
      <c r="M27" s="1" t="s">
        <v>290</v>
      </c>
      <c r="N27" s="1" t="s">
        <v>291</v>
      </c>
      <c r="O27" s="1" t="s">
        <v>232</v>
      </c>
      <c r="P27" s="1" t="s">
        <v>33</v>
      </c>
      <c r="Q27" s="1" t="s">
        <v>233</v>
      </c>
      <c r="R27" t="s">
        <v>874</v>
      </c>
      <c r="S27" s="3" t="s">
        <v>282</v>
      </c>
      <c r="T27" s="3">
        <f t="shared" si="0"/>
        <v>7</v>
      </c>
      <c r="U27" s="19">
        <f t="shared" si="1"/>
        <v>0.14285714285714285</v>
      </c>
      <c r="V27" s="10">
        <f>300*표1[[#This Row],[열1]]</f>
        <v>42.857142857142854</v>
      </c>
    </row>
    <row r="28" spans="1:22">
      <c r="A28" s="2">
        <v>27</v>
      </c>
      <c r="B28" s="1" t="s">
        <v>18</v>
      </c>
      <c r="C28" s="1" t="s">
        <v>292</v>
      </c>
      <c r="D28" s="1" t="s">
        <v>21</v>
      </c>
      <c r="E28" s="1" t="s">
        <v>294</v>
      </c>
      <c r="F28" s="1" t="s">
        <v>295</v>
      </c>
      <c r="G28" s="1" t="s">
        <v>296</v>
      </c>
      <c r="H28" s="1" t="s">
        <v>297</v>
      </c>
      <c r="I28" s="1" t="s">
        <v>298</v>
      </c>
      <c r="J28" s="1" t="s">
        <v>299</v>
      </c>
      <c r="K28" s="1" t="s">
        <v>298</v>
      </c>
      <c r="L28" s="1" t="s">
        <v>300</v>
      </c>
      <c r="M28" s="1" t="s">
        <v>301</v>
      </c>
      <c r="N28" s="1" t="s">
        <v>302</v>
      </c>
      <c r="O28" s="1" t="s">
        <v>303</v>
      </c>
      <c r="P28" s="1" t="s">
        <v>33</v>
      </c>
      <c r="Q28" s="1" t="s">
        <v>245</v>
      </c>
      <c r="R28" t="s">
        <v>875</v>
      </c>
      <c r="S28" s="3" t="s">
        <v>293</v>
      </c>
      <c r="T28" s="3">
        <f t="shared" si="0"/>
        <v>6</v>
      </c>
      <c r="U28" s="19">
        <f t="shared" si="1"/>
        <v>0.16666666666666666</v>
      </c>
      <c r="V28" s="10">
        <f>300*표1[[#This Row],[열1]]</f>
        <v>50</v>
      </c>
    </row>
    <row r="29" spans="1:22">
      <c r="A29" s="2">
        <v>28</v>
      </c>
      <c r="B29" s="1" t="s">
        <v>18</v>
      </c>
      <c r="C29" s="1" t="s">
        <v>304</v>
      </c>
      <c r="D29" s="1" t="s">
        <v>21</v>
      </c>
      <c r="E29" s="1" t="s">
        <v>306</v>
      </c>
      <c r="F29" s="1" t="s">
        <v>307</v>
      </c>
      <c r="G29" s="1" t="s">
        <v>308</v>
      </c>
      <c r="H29" s="1" t="s">
        <v>76</v>
      </c>
      <c r="I29" s="1" t="s">
        <v>309</v>
      </c>
      <c r="J29" s="1" t="s">
        <v>299</v>
      </c>
      <c r="K29" s="1" t="s">
        <v>309</v>
      </c>
      <c r="L29" s="1" t="s">
        <v>32</v>
      </c>
      <c r="M29" s="1" t="s">
        <v>32</v>
      </c>
      <c r="N29" s="1" t="s">
        <v>32</v>
      </c>
      <c r="O29" s="1" t="s">
        <v>32</v>
      </c>
      <c r="P29" s="1" t="s">
        <v>33</v>
      </c>
      <c r="Q29" s="1" t="s">
        <v>310</v>
      </c>
      <c r="R29" t="s">
        <v>876</v>
      </c>
      <c r="S29" s="3" t="s">
        <v>305</v>
      </c>
      <c r="T29" s="3">
        <f t="shared" si="0"/>
        <v>8</v>
      </c>
      <c r="U29" s="19">
        <f t="shared" si="1"/>
        <v>0.125</v>
      </c>
      <c r="V29" s="10">
        <f>300*표1[[#This Row],[열1]]</f>
        <v>37.5</v>
      </c>
    </row>
    <row r="30" spans="1:22">
      <c r="A30" s="2">
        <v>29</v>
      </c>
      <c r="B30" s="1" t="s">
        <v>18</v>
      </c>
      <c r="C30" s="1" t="s">
        <v>195</v>
      </c>
      <c r="D30" s="1" t="s">
        <v>21</v>
      </c>
      <c r="E30" s="1" t="s">
        <v>312</v>
      </c>
      <c r="F30" s="1" t="s">
        <v>313</v>
      </c>
      <c r="G30" s="1" t="s">
        <v>314</v>
      </c>
      <c r="H30" s="1" t="s">
        <v>315</v>
      </c>
      <c r="I30" s="1" t="s">
        <v>316</v>
      </c>
      <c r="J30" s="1" t="s">
        <v>317</v>
      </c>
      <c r="K30" s="1" t="s">
        <v>316</v>
      </c>
      <c r="L30" s="1" t="s">
        <v>318</v>
      </c>
      <c r="M30" s="1" t="s">
        <v>319</v>
      </c>
      <c r="N30" s="1" t="s">
        <v>320</v>
      </c>
      <c r="O30" s="1" t="s">
        <v>256</v>
      </c>
      <c r="P30" s="1" t="s">
        <v>33</v>
      </c>
      <c r="Q30" s="1" t="s">
        <v>245</v>
      </c>
      <c r="R30" t="s">
        <v>877</v>
      </c>
      <c r="S30" s="3" t="s">
        <v>311</v>
      </c>
      <c r="T30" s="3">
        <f t="shared" si="0"/>
        <v>6</v>
      </c>
      <c r="U30" s="19">
        <f t="shared" si="1"/>
        <v>0.16666666666666666</v>
      </c>
      <c r="V30" s="10">
        <f>300*표1[[#This Row],[열1]]</f>
        <v>50</v>
      </c>
    </row>
    <row r="31" spans="1:22">
      <c r="A31" s="2">
        <v>30</v>
      </c>
      <c r="B31" s="1" t="s">
        <v>18</v>
      </c>
      <c r="C31" s="1" t="s">
        <v>321</v>
      </c>
      <c r="D31" s="1" t="s">
        <v>21</v>
      </c>
      <c r="E31" s="1" t="s">
        <v>323</v>
      </c>
      <c r="F31" s="1" t="s">
        <v>324</v>
      </c>
      <c r="G31" s="1" t="s">
        <v>325</v>
      </c>
      <c r="H31" s="1" t="s">
        <v>297</v>
      </c>
      <c r="I31" s="1" t="s">
        <v>326</v>
      </c>
      <c r="J31" s="1" t="s">
        <v>327</v>
      </c>
      <c r="K31" s="1" t="s">
        <v>326</v>
      </c>
      <c r="L31" s="1" t="s">
        <v>328</v>
      </c>
      <c r="M31" s="1" t="s">
        <v>329</v>
      </c>
      <c r="N31" s="1" t="s">
        <v>330</v>
      </c>
      <c r="O31" s="1" t="s">
        <v>331</v>
      </c>
      <c r="P31" s="1" t="s">
        <v>33</v>
      </c>
      <c r="Q31" s="1" t="s">
        <v>332</v>
      </c>
      <c r="R31" t="s">
        <v>878</v>
      </c>
      <c r="S31" s="3" t="s">
        <v>322</v>
      </c>
      <c r="T31" s="3">
        <f t="shared" si="0"/>
        <v>5</v>
      </c>
      <c r="U31" s="19">
        <f t="shared" si="1"/>
        <v>0.2</v>
      </c>
      <c r="V31" s="10">
        <f>300*표1[[#This Row],[열1]]</f>
        <v>60</v>
      </c>
    </row>
    <row r="32" spans="1:22">
      <c r="A32" s="2">
        <v>31</v>
      </c>
      <c r="B32" s="1" t="s">
        <v>18</v>
      </c>
      <c r="C32" s="1" t="s">
        <v>333</v>
      </c>
      <c r="D32" s="1" t="s">
        <v>21</v>
      </c>
      <c r="E32" s="1" t="s">
        <v>335</v>
      </c>
      <c r="F32" s="1" t="s">
        <v>336</v>
      </c>
      <c r="G32" s="1" t="s">
        <v>337</v>
      </c>
      <c r="H32" s="1" t="s">
        <v>338</v>
      </c>
      <c r="I32" s="1" t="s">
        <v>339</v>
      </c>
      <c r="J32" s="1" t="s">
        <v>340</v>
      </c>
      <c r="K32" s="1" t="s">
        <v>339</v>
      </c>
      <c r="L32" s="1" t="s">
        <v>341</v>
      </c>
      <c r="M32" s="1" t="s">
        <v>342</v>
      </c>
      <c r="N32" s="1" t="s">
        <v>343</v>
      </c>
      <c r="O32" s="1" t="s">
        <v>232</v>
      </c>
      <c r="P32" s="1" t="s">
        <v>33</v>
      </c>
      <c r="Q32" s="1" t="s">
        <v>233</v>
      </c>
      <c r="R32" t="s">
        <v>879</v>
      </c>
      <c r="S32" s="3" t="s">
        <v>334</v>
      </c>
      <c r="T32" s="3">
        <f t="shared" si="0"/>
        <v>7</v>
      </c>
      <c r="U32" s="19">
        <f t="shared" si="1"/>
        <v>0.14285714285714285</v>
      </c>
      <c r="V32" s="10">
        <f>300*표1[[#This Row],[열1]]</f>
        <v>42.857142857142854</v>
      </c>
    </row>
    <row r="33" spans="1:22">
      <c r="A33" s="2">
        <v>32</v>
      </c>
      <c r="B33" s="1" t="s">
        <v>18</v>
      </c>
      <c r="C33" s="1" t="s">
        <v>195</v>
      </c>
      <c r="D33" s="1" t="s">
        <v>21</v>
      </c>
      <c r="E33" s="1" t="s">
        <v>345</v>
      </c>
      <c r="F33" s="1" t="s">
        <v>346</v>
      </c>
      <c r="G33" s="1" t="s">
        <v>347</v>
      </c>
      <c r="H33" s="1" t="s">
        <v>348</v>
      </c>
      <c r="I33" s="1" t="s">
        <v>349</v>
      </c>
      <c r="J33" s="1" t="s">
        <v>350</v>
      </c>
      <c r="K33" s="1" t="s">
        <v>349</v>
      </c>
      <c r="L33" s="1" t="s">
        <v>351</v>
      </c>
      <c r="M33" s="1" t="s">
        <v>352</v>
      </c>
      <c r="N33" s="1" t="s">
        <v>353</v>
      </c>
      <c r="O33" s="1" t="s">
        <v>354</v>
      </c>
      <c r="P33" s="1" t="s">
        <v>33</v>
      </c>
      <c r="Q33" s="1" t="s">
        <v>355</v>
      </c>
      <c r="R33" t="s">
        <v>880</v>
      </c>
      <c r="S33" s="3" t="s">
        <v>344</v>
      </c>
      <c r="T33" s="3">
        <f t="shared" si="0"/>
        <v>7</v>
      </c>
      <c r="U33" s="19">
        <f t="shared" si="1"/>
        <v>0.14285714285714285</v>
      </c>
      <c r="V33" s="10">
        <f>300*표1[[#This Row],[열1]]</f>
        <v>42.857142857142854</v>
      </c>
    </row>
    <row r="34" spans="1:22" hidden="1">
      <c r="A34" s="2">
        <v>33</v>
      </c>
      <c r="B34" s="1" t="s">
        <v>18</v>
      </c>
      <c r="C34" s="1" t="s">
        <v>292</v>
      </c>
      <c r="D34" s="1" t="s">
        <v>21</v>
      </c>
      <c r="E34" s="1" t="s">
        <v>357</v>
      </c>
      <c r="F34" s="1" t="s">
        <v>295</v>
      </c>
      <c r="G34" s="1" t="s">
        <v>358</v>
      </c>
      <c r="H34" s="1" t="s">
        <v>113</v>
      </c>
      <c r="I34" s="1" t="s">
        <v>359</v>
      </c>
      <c r="J34" s="1" t="s">
        <v>360</v>
      </c>
      <c r="K34" s="1" t="s">
        <v>359</v>
      </c>
      <c r="L34" s="1" t="s">
        <v>361</v>
      </c>
      <c r="M34" s="1" t="s">
        <v>301</v>
      </c>
      <c r="N34" s="1" t="s">
        <v>362</v>
      </c>
      <c r="O34" s="1" t="s">
        <v>303</v>
      </c>
      <c r="P34" s="1" t="s">
        <v>33</v>
      </c>
      <c r="Q34" s="1" t="s">
        <v>245</v>
      </c>
      <c r="R34" t="s">
        <v>881</v>
      </c>
      <c r="S34" s="3" t="s">
        <v>356</v>
      </c>
      <c r="T34" s="3">
        <f t="shared" ref="T34:T65" si="2">COUNTA(_xlfn.TEXTSPLIT(Q34, "|"))</f>
        <v>6</v>
      </c>
      <c r="U34" s="19">
        <f t="shared" ref="U34:U65" si="3">_xlfn.LET(
    _xlpm.authors, _xlfn.TEXTSPLIT(Q34, "|"),
    _xlpm.countAuthors, COUNTA(_xlpm.authors),
    _xlpm.ratio, 1 / _xlpm.countAuthors,
    _xlpm.ratio
)</f>
        <v>0.16666666666666666</v>
      </c>
      <c r="V34" s="10">
        <f>300*표1[[#This Row],[열1]]</f>
        <v>50</v>
      </c>
    </row>
    <row r="35" spans="1:22" hidden="1">
      <c r="A35" s="2">
        <v>34</v>
      </c>
      <c r="B35" s="1" t="s">
        <v>18</v>
      </c>
      <c r="C35" s="1" t="s">
        <v>363</v>
      </c>
      <c r="D35" s="1" t="s">
        <v>21</v>
      </c>
      <c r="E35" s="1" t="s">
        <v>365</v>
      </c>
      <c r="F35" s="1" t="s">
        <v>366</v>
      </c>
      <c r="G35" s="1" t="s">
        <v>367</v>
      </c>
      <c r="H35" s="1" t="s">
        <v>368</v>
      </c>
      <c r="I35" s="1" t="s">
        <v>369</v>
      </c>
      <c r="J35" s="1" t="s">
        <v>370</v>
      </c>
      <c r="K35" s="1" t="s">
        <v>369</v>
      </c>
      <c r="L35" s="1" t="s">
        <v>371</v>
      </c>
      <c r="M35" s="1" t="s">
        <v>372</v>
      </c>
      <c r="N35" s="1" t="s">
        <v>373</v>
      </c>
      <c r="O35" s="1" t="s">
        <v>374</v>
      </c>
      <c r="P35" s="1" t="s">
        <v>33</v>
      </c>
      <c r="Q35" s="1" t="s">
        <v>375</v>
      </c>
      <c r="R35" t="s">
        <v>882</v>
      </c>
      <c r="S35" s="3" t="s">
        <v>364</v>
      </c>
      <c r="T35" s="3">
        <f t="shared" si="2"/>
        <v>4</v>
      </c>
      <c r="U35" s="19">
        <f t="shared" si="3"/>
        <v>0.25</v>
      </c>
      <c r="V35" s="10">
        <f>300*표1[[#This Row],[열1]]</f>
        <v>75</v>
      </c>
    </row>
    <row r="36" spans="1:22" hidden="1">
      <c r="A36" s="2">
        <v>35</v>
      </c>
      <c r="B36" s="1" t="s">
        <v>18</v>
      </c>
      <c r="C36" s="1" t="s">
        <v>195</v>
      </c>
      <c r="D36" s="1" t="s">
        <v>21</v>
      </c>
      <c r="E36" s="1" t="s">
        <v>377</v>
      </c>
      <c r="F36" s="1" t="s">
        <v>313</v>
      </c>
      <c r="G36" s="1" t="s">
        <v>378</v>
      </c>
      <c r="H36" s="1" t="s">
        <v>348</v>
      </c>
      <c r="I36" s="1" t="s">
        <v>379</v>
      </c>
      <c r="J36" s="1" t="s">
        <v>380</v>
      </c>
      <c r="K36" s="1" t="s">
        <v>379</v>
      </c>
      <c r="L36" s="1" t="s">
        <v>381</v>
      </c>
      <c r="M36" s="1" t="s">
        <v>319</v>
      </c>
      <c r="N36" s="1" t="s">
        <v>382</v>
      </c>
      <c r="O36" s="1" t="s">
        <v>256</v>
      </c>
      <c r="P36" s="1" t="s">
        <v>33</v>
      </c>
      <c r="Q36" s="1" t="s">
        <v>245</v>
      </c>
      <c r="R36" t="s">
        <v>883</v>
      </c>
      <c r="S36" s="3" t="s">
        <v>376</v>
      </c>
      <c r="T36" s="3">
        <f t="shared" si="2"/>
        <v>6</v>
      </c>
      <c r="U36" s="19">
        <f t="shared" si="3"/>
        <v>0.16666666666666666</v>
      </c>
      <c r="V36" s="10">
        <f>300*표1[[#This Row],[열1]]</f>
        <v>50</v>
      </c>
    </row>
    <row r="37" spans="1:22" hidden="1">
      <c r="A37" s="2">
        <v>36</v>
      </c>
      <c r="B37" s="1" t="s">
        <v>18</v>
      </c>
      <c r="C37" s="1" t="s">
        <v>383</v>
      </c>
      <c r="D37" s="1" t="s">
        <v>21</v>
      </c>
      <c r="E37" s="1" t="s">
        <v>385</v>
      </c>
      <c r="F37" s="1" t="s">
        <v>386</v>
      </c>
      <c r="G37" s="1" t="s">
        <v>387</v>
      </c>
      <c r="H37" s="1" t="s">
        <v>388</v>
      </c>
      <c r="I37" s="1" t="s">
        <v>389</v>
      </c>
      <c r="J37" s="1" t="s">
        <v>390</v>
      </c>
      <c r="K37" s="1" t="s">
        <v>389</v>
      </c>
      <c r="L37" s="1" t="s">
        <v>391</v>
      </c>
      <c r="M37" s="1" t="s">
        <v>392</v>
      </c>
      <c r="N37" s="1" t="s">
        <v>393</v>
      </c>
      <c r="O37" s="1" t="s">
        <v>303</v>
      </c>
      <c r="P37" s="1" t="s">
        <v>33</v>
      </c>
      <c r="Q37" s="1" t="s">
        <v>394</v>
      </c>
      <c r="R37" s="3"/>
      <c r="S37" s="3" t="s">
        <v>384</v>
      </c>
      <c r="T37" s="3">
        <f t="shared" si="2"/>
        <v>6</v>
      </c>
      <c r="U37" s="14">
        <f t="shared" si="3"/>
        <v>0.16666666666666666</v>
      </c>
      <c r="V37" s="10">
        <f>300*표1[[#This Row],[열1]]</f>
        <v>50</v>
      </c>
    </row>
    <row r="38" spans="1:22" hidden="1">
      <c r="A38" s="2">
        <v>37</v>
      </c>
      <c r="B38" s="1" t="s">
        <v>18</v>
      </c>
      <c r="C38" s="1" t="s">
        <v>395</v>
      </c>
      <c r="D38" s="1" t="s">
        <v>21</v>
      </c>
      <c r="E38" s="1" t="s">
        <v>397</v>
      </c>
      <c r="F38" s="1" t="s">
        <v>398</v>
      </c>
      <c r="G38" s="1" t="s">
        <v>399</v>
      </c>
      <c r="H38" s="1" t="s">
        <v>400</v>
      </c>
      <c r="I38" s="1" t="s">
        <v>401</v>
      </c>
      <c r="J38" s="1" t="s">
        <v>402</v>
      </c>
      <c r="K38" s="1" t="s">
        <v>401</v>
      </c>
      <c r="L38" s="1" t="s">
        <v>403</v>
      </c>
      <c r="M38" s="1" t="s">
        <v>404</v>
      </c>
      <c r="N38" s="1" t="s">
        <v>405</v>
      </c>
      <c r="O38" s="1" t="s">
        <v>406</v>
      </c>
      <c r="P38" s="1" t="s">
        <v>257</v>
      </c>
      <c r="Q38" s="1" t="s">
        <v>407</v>
      </c>
      <c r="R38" s="3"/>
      <c r="S38" s="3" t="s">
        <v>396</v>
      </c>
      <c r="T38" s="3">
        <f t="shared" si="2"/>
        <v>5</v>
      </c>
      <c r="U38" s="14">
        <f t="shared" si="3"/>
        <v>0.2</v>
      </c>
      <c r="V38" s="10">
        <f>300*표1[[#This Row],[열1]]</f>
        <v>60</v>
      </c>
    </row>
    <row r="39" spans="1:22" hidden="1">
      <c r="A39" s="2">
        <v>38</v>
      </c>
      <c r="B39" s="1" t="s">
        <v>18</v>
      </c>
      <c r="C39" s="1" t="s">
        <v>408</v>
      </c>
      <c r="D39" s="1" t="s">
        <v>21</v>
      </c>
      <c r="E39" s="1" t="s">
        <v>410</v>
      </c>
      <c r="F39" s="1" t="s">
        <v>411</v>
      </c>
      <c r="G39" s="1" t="s">
        <v>412</v>
      </c>
      <c r="H39" s="1" t="s">
        <v>413</v>
      </c>
      <c r="I39" s="1" t="s">
        <v>414</v>
      </c>
      <c r="J39" s="1" t="s">
        <v>415</v>
      </c>
      <c r="K39" s="1" t="s">
        <v>414</v>
      </c>
      <c r="L39" s="1" t="s">
        <v>416</v>
      </c>
      <c r="M39" s="1" t="s">
        <v>417</v>
      </c>
      <c r="N39" s="1" t="s">
        <v>418</v>
      </c>
      <c r="O39" s="1" t="s">
        <v>419</v>
      </c>
      <c r="P39" s="1" t="s">
        <v>257</v>
      </c>
      <c r="Q39" s="1" t="s">
        <v>420</v>
      </c>
      <c r="R39" s="3"/>
      <c r="S39" s="3" t="s">
        <v>409</v>
      </c>
      <c r="T39" s="3">
        <f t="shared" si="2"/>
        <v>4</v>
      </c>
      <c r="U39" s="14">
        <f t="shared" si="3"/>
        <v>0.25</v>
      </c>
      <c r="V39" s="10">
        <f>300*표1[[#This Row],[열1]]</f>
        <v>75</v>
      </c>
    </row>
    <row r="40" spans="1:22" hidden="1">
      <c r="A40" s="2">
        <v>39</v>
      </c>
      <c r="B40" s="1" t="s">
        <v>18</v>
      </c>
      <c r="C40" s="1" t="s">
        <v>421</v>
      </c>
      <c r="D40" s="1" t="s">
        <v>21</v>
      </c>
      <c r="E40" s="1" t="s">
        <v>423</v>
      </c>
      <c r="F40" s="1" t="s">
        <v>386</v>
      </c>
      <c r="G40" s="1" t="s">
        <v>424</v>
      </c>
      <c r="H40" s="1" t="s">
        <v>315</v>
      </c>
      <c r="I40" s="1" t="s">
        <v>425</v>
      </c>
      <c r="J40" s="1" t="s">
        <v>426</v>
      </c>
      <c r="K40" s="1" t="s">
        <v>425</v>
      </c>
      <c r="L40" s="1" t="s">
        <v>427</v>
      </c>
      <c r="M40" s="1" t="s">
        <v>392</v>
      </c>
      <c r="N40" s="1" t="s">
        <v>428</v>
      </c>
      <c r="O40" s="1" t="s">
        <v>92</v>
      </c>
      <c r="P40" s="1" t="s">
        <v>257</v>
      </c>
      <c r="Q40" s="1" t="s">
        <v>429</v>
      </c>
      <c r="R40" s="3"/>
      <c r="S40" s="3" t="s">
        <v>422</v>
      </c>
      <c r="T40" s="3">
        <f t="shared" si="2"/>
        <v>4</v>
      </c>
      <c r="U40" s="14">
        <f t="shared" si="3"/>
        <v>0.25</v>
      </c>
      <c r="V40" s="10">
        <f>300*표1[[#This Row],[열1]]</f>
        <v>75</v>
      </c>
    </row>
    <row r="41" spans="1:22" hidden="1">
      <c r="A41" s="2">
        <v>40</v>
      </c>
      <c r="B41" s="1" t="s">
        <v>18</v>
      </c>
      <c r="C41" s="1" t="s">
        <v>430</v>
      </c>
      <c r="D41" s="1" t="s">
        <v>21</v>
      </c>
      <c r="E41" s="1" t="s">
        <v>432</v>
      </c>
      <c r="F41" s="1" t="s">
        <v>433</v>
      </c>
      <c r="G41" s="1" t="s">
        <v>434</v>
      </c>
      <c r="H41" s="1" t="s">
        <v>435</v>
      </c>
      <c r="I41" s="1" t="s">
        <v>436</v>
      </c>
      <c r="J41" s="1" t="s">
        <v>437</v>
      </c>
      <c r="K41" s="1" t="s">
        <v>436</v>
      </c>
      <c r="L41" s="1" t="s">
        <v>438</v>
      </c>
      <c r="M41" s="1" t="s">
        <v>439</v>
      </c>
      <c r="N41" s="1" t="s">
        <v>440</v>
      </c>
      <c r="O41" s="1" t="s">
        <v>441</v>
      </c>
      <c r="P41" s="1" t="s">
        <v>33</v>
      </c>
      <c r="Q41" s="1" t="s">
        <v>442</v>
      </c>
      <c r="R41" s="3"/>
      <c r="S41" s="3" t="s">
        <v>431</v>
      </c>
      <c r="T41" s="3">
        <f t="shared" si="2"/>
        <v>8</v>
      </c>
      <c r="U41" s="14">
        <f t="shared" si="3"/>
        <v>0.125</v>
      </c>
      <c r="V41" s="10">
        <f>300*표1[[#This Row],[열1]]</f>
        <v>37.5</v>
      </c>
    </row>
    <row r="42" spans="1:22" hidden="1">
      <c r="A42" s="2">
        <v>41</v>
      </c>
      <c r="B42" s="1" t="s">
        <v>18</v>
      </c>
      <c r="C42" s="1" t="s">
        <v>443</v>
      </c>
      <c r="D42" s="1" t="s">
        <v>445</v>
      </c>
      <c r="E42" s="1" t="s">
        <v>446</v>
      </c>
      <c r="F42" s="1" t="s">
        <v>198</v>
      </c>
      <c r="G42" s="1" t="s">
        <v>447</v>
      </c>
      <c r="H42" s="1" t="s">
        <v>448</v>
      </c>
      <c r="I42" s="1" t="s">
        <v>32</v>
      </c>
      <c r="J42" s="1" t="s">
        <v>32</v>
      </c>
      <c r="K42" s="1" t="s">
        <v>447</v>
      </c>
      <c r="L42" s="1" t="s">
        <v>449</v>
      </c>
      <c r="M42" s="1" t="s">
        <v>204</v>
      </c>
      <c r="N42" s="1" t="s">
        <v>32</v>
      </c>
      <c r="O42" s="1" t="s">
        <v>32</v>
      </c>
      <c r="P42" s="1" t="s">
        <v>450</v>
      </c>
      <c r="Q42" s="1" t="s">
        <v>451</v>
      </c>
      <c r="R42" s="3"/>
      <c r="S42" s="3" t="s">
        <v>444</v>
      </c>
      <c r="T42" s="3">
        <f t="shared" si="2"/>
        <v>6</v>
      </c>
      <c r="U42" s="14">
        <f t="shared" si="3"/>
        <v>0.16666666666666666</v>
      </c>
      <c r="V42" s="10">
        <f>300*표1[[#This Row],[열1]]</f>
        <v>50</v>
      </c>
    </row>
    <row r="43" spans="1:22" hidden="1">
      <c r="A43" s="2">
        <v>42</v>
      </c>
      <c r="B43" s="1" t="s">
        <v>18</v>
      </c>
      <c r="C43" s="1" t="s">
        <v>452</v>
      </c>
      <c r="D43" s="1" t="s">
        <v>445</v>
      </c>
      <c r="E43" s="1" t="s">
        <v>454</v>
      </c>
      <c r="F43" s="1" t="s">
        <v>455</v>
      </c>
      <c r="G43" s="1" t="s">
        <v>456</v>
      </c>
      <c r="H43" s="1" t="s">
        <v>388</v>
      </c>
      <c r="I43" s="1" t="s">
        <v>32</v>
      </c>
      <c r="J43" s="1" t="s">
        <v>32</v>
      </c>
      <c r="K43" s="1" t="s">
        <v>456</v>
      </c>
      <c r="L43" s="1" t="s">
        <v>457</v>
      </c>
      <c r="M43" s="1" t="s">
        <v>458</v>
      </c>
      <c r="N43" s="1" t="s">
        <v>32</v>
      </c>
      <c r="O43" s="1" t="s">
        <v>32</v>
      </c>
      <c r="P43" s="1" t="s">
        <v>450</v>
      </c>
      <c r="Q43" s="1" t="s">
        <v>459</v>
      </c>
      <c r="R43" s="3"/>
      <c r="S43" s="3" t="s">
        <v>453</v>
      </c>
      <c r="T43" s="3">
        <f t="shared" si="2"/>
        <v>5</v>
      </c>
      <c r="U43" s="14">
        <f t="shared" si="3"/>
        <v>0.2</v>
      </c>
      <c r="V43" s="10">
        <f>300*표1[[#This Row],[열1]]</f>
        <v>60</v>
      </c>
    </row>
    <row r="44" spans="1:22" hidden="1">
      <c r="A44" s="2">
        <v>43</v>
      </c>
      <c r="B44" s="1" t="s">
        <v>18</v>
      </c>
      <c r="C44" s="1" t="s">
        <v>452</v>
      </c>
      <c r="D44" s="1" t="s">
        <v>445</v>
      </c>
      <c r="E44" s="1" t="s">
        <v>461</v>
      </c>
      <c r="F44" s="1" t="s">
        <v>462</v>
      </c>
      <c r="G44" s="1" t="s">
        <v>463</v>
      </c>
      <c r="H44" s="1" t="s">
        <v>100</v>
      </c>
      <c r="I44" s="1" t="s">
        <v>32</v>
      </c>
      <c r="J44" s="1" t="s">
        <v>32</v>
      </c>
      <c r="K44" s="1" t="s">
        <v>463</v>
      </c>
      <c r="L44" s="1" t="s">
        <v>464</v>
      </c>
      <c r="M44" s="1" t="s">
        <v>465</v>
      </c>
      <c r="N44" s="1" t="s">
        <v>32</v>
      </c>
      <c r="O44" s="1" t="s">
        <v>32</v>
      </c>
      <c r="P44" s="1" t="s">
        <v>450</v>
      </c>
      <c r="Q44" s="1" t="s">
        <v>466</v>
      </c>
      <c r="R44" s="3"/>
      <c r="S44" s="3" t="s">
        <v>460</v>
      </c>
      <c r="T44" s="3">
        <f t="shared" si="2"/>
        <v>4</v>
      </c>
      <c r="U44" s="14">
        <f t="shared" si="3"/>
        <v>0.25</v>
      </c>
      <c r="V44" s="10">
        <f>300*표1[[#This Row],[열1]]</f>
        <v>75</v>
      </c>
    </row>
    <row r="45" spans="1:22" hidden="1">
      <c r="A45" s="2">
        <v>44</v>
      </c>
      <c r="B45" s="1" t="s">
        <v>18</v>
      </c>
      <c r="C45" s="1" t="s">
        <v>467</v>
      </c>
      <c r="D45" s="1" t="s">
        <v>445</v>
      </c>
      <c r="E45" s="1" t="s">
        <v>469</v>
      </c>
      <c r="F45" s="1" t="s">
        <v>470</v>
      </c>
      <c r="G45" s="1" t="s">
        <v>471</v>
      </c>
      <c r="H45" s="1" t="s">
        <v>472</v>
      </c>
      <c r="I45" s="1" t="s">
        <v>32</v>
      </c>
      <c r="J45" s="1" t="s">
        <v>32</v>
      </c>
      <c r="K45" s="1" t="s">
        <v>471</v>
      </c>
      <c r="L45" s="1" t="s">
        <v>473</v>
      </c>
      <c r="M45" s="1" t="s">
        <v>474</v>
      </c>
      <c r="N45" s="1" t="s">
        <v>32</v>
      </c>
      <c r="O45" s="1" t="s">
        <v>32</v>
      </c>
      <c r="P45" s="1" t="s">
        <v>450</v>
      </c>
      <c r="Q45" s="1" t="s">
        <v>475</v>
      </c>
      <c r="R45" s="3"/>
      <c r="S45" s="3" t="s">
        <v>468</v>
      </c>
      <c r="T45" s="3">
        <f t="shared" si="2"/>
        <v>7</v>
      </c>
      <c r="U45" s="14">
        <f t="shared" si="3"/>
        <v>0.14285714285714285</v>
      </c>
      <c r="V45" s="10">
        <f>300*표1[[#This Row],[열1]]</f>
        <v>42.857142857142854</v>
      </c>
    </row>
    <row r="46" spans="1:22" hidden="1">
      <c r="A46" s="2">
        <v>45</v>
      </c>
      <c r="B46" s="1" t="s">
        <v>18</v>
      </c>
      <c r="C46" s="1" t="s">
        <v>476</v>
      </c>
      <c r="D46" s="1" t="s">
        <v>445</v>
      </c>
      <c r="E46" s="1" t="s">
        <v>477</v>
      </c>
      <c r="F46" s="1" t="s">
        <v>478</v>
      </c>
      <c r="G46" s="1" t="s">
        <v>479</v>
      </c>
      <c r="H46" s="1" t="s">
        <v>70</v>
      </c>
      <c r="I46" s="1" t="s">
        <v>32</v>
      </c>
      <c r="J46" s="1" t="s">
        <v>32</v>
      </c>
      <c r="K46" s="1" t="s">
        <v>479</v>
      </c>
      <c r="L46" s="1" t="s">
        <v>480</v>
      </c>
      <c r="M46" s="1" t="s">
        <v>481</v>
      </c>
      <c r="N46" s="1" t="s">
        <v>32</v>
      </c>
      <c r="O46" s="1" t="s">
        <v>32</v>
      </c>
      <c r="P46" s="1" t="s">
        <v>450</v>
      </c>
      <c r="Q46" s="1" t="s">
        <v>482</v>
      </c>
      <c r="R46" s="3"/>
      <c r="S46" s="3" t="s">
        <v>177</v>
      </c>
      <c r="T46" s="3">
        <f t="shared" si="2"/>
        <v>7</v>
      </c>
      <c r="U46" s="14">
        <f t="shared" si="3"/>
        <v>0.14285714285714285</v>
      </c>
      <c r="V46" s="10">
        <f>300*표1[[#This Row],[열1]]</f>
        <v>42.857142857142854</v>
      </c>
    </row>
    <row r="47" spans="1:22" hidden="1">
      <c r="A47" s="2">
        <v>46</v>
      </c>
      <c r="B47" s="1" t="s">
        <v>18</v>
      </c>
      <c r="C47" s="1" t="s">
        <v>483</v>
      </c>
      <c r="D47" s="1" t="s">
        <v>445</v>
      </c>
      <c r="E47" s="1" t="s">
        <v>485</v>
      </c>
      <c r="F47" s="1" t="s">
        <v>297</v>
      </c>
      <c r="G47" s="1" t="s">
        <v>486</v>
      </c>
      <c r="H47" s="1" t="s">
        <v>487</v>
      </c>
      <c r="I47" s="1" t="s">
        <v>32</v>
      </c>
      <c r="J47" s="1" t="s">
        <v>32</v>
      </c>
      <c r="K47" s="1" t="s">
        <v>486</v>
      </c>
      <c r="L47" s="1" t="s">
        <v>488</v>
      </c>
      <c r="M47" s="1" t="s">
        <v>489</v>
      </c>
      <c r="N47" s="1" t="s">
        <v>32</v>
      </c>
      <c r="O47" s="1" t="s">
        <v>32</v>
      </c>
      <c r="P47" s="1" t="s">
        <v>33</v>
      </c>
      <c r="Q47" s="1" t="s">
        <v>52</v>
      </c>
      <c r="R47" s="3"/>
      <c r="S47" s="3" t="s">
        <v>484</v>
      </c>
      <c r="T47" s="3">
        <f t="shared" si="2"/>
        <v>6</v>
      </c>
      <c r="U47" s="14">
        <f t="shared" si="3"/>
        <v>0.16666666666666666</v>
      </c>
      <c r="V47" s="10">
        <f>300*표1[[#This Row],[열1]]</f>
        <v>50</v>
      </c>
    </row>
    <row r="48" spans="1:22" hidden="1">
      <c r="A48" s="2">
        <v>47</v>
      </c>
      <c r="B48" s="1" t="s">
        <v>18</v>
      </c>
      <c r="C48" s="1" t="s">
        <v>490</v>
      </c>
      <c r="D48" s="1" t="s">
        <v>445</v>
      </c>
      <c r="E48" s="1" t="s">
        <v>492</v>
      </c>
      <c r="F48" s="1" t="s">
        <v>493</v>
      </c>
      <c r="G48" s="1" t="s">
        <v>494</v>
      </c>
      <c r="H48" s="1" t="s">
        <v>472</v>
      </c>
      <c r="I48" s="1" t="s">
        <v>32</v>
      </c>
      <c r="J48" s="1" t="s">
        <v>32</v>
      </c>
      <c r="K48" s="1" t="s">
        <v>494</v>
      </c>
      <c r="L48" s="1" t="s">
        <v>495</v>
      </c>
      <c r="M48" s="1" t="s">
        <v>496</v>
      </c>
      <c r="N48" s="1" t="s">
        <v>32</v>
      </c>
      <c r="O48" s="1" t="s">
        <v>32</v>
      </c>
      <c r="P48" s="1" t="s">
        <v>33</v>
      </c>
      <c r="Q48" s="1" t="s">
        <v>52</v>
      </c>
      <c r="R48" s="3"/>
      <c r="S48" s="3" t="s">
        <v>491</v>
      </c>
      <c r="T48" s="3">
        <f t="shared" si="2"/>
        <v>6</v>
      </c>
      <c r="U48" s="14">
        <f t="shared" si="3"/>
        <v>0.16666666666666666</v>
      </c>
      <c r="V48" s="10">
        <f>300*표1[[#This Row],[열1]]</f>
        <v>50</v>
      </c>
    </row>
    <row r="49" spans="1:22" hidden="1">
      <c r="A49" s="2">
        <v>48</v>
      </c>
      <c r="B49" s="1" t="s">
        <v>18</v>
      </c>
      <c r="C49" s="1" t="s">
        <v>497</v>
      </c>
      <c r="D49" s="1" t="s">
        <v>445</v>
      </c>
      <c r="E49" s="1" t="s">
        <v>499</v>
      </c>
      <c r="F49" s="1" t="s">
        <v>500</v>
      </c>
      <c r="G49" s="1" t="s">
        <v>501</v>
      </c>
      <c r="H49" s="1" t="s">
        <v>502</v>
      </c>
      <c r="I49" s="1" t="s">
        <v>32</v>
      </c>
      <c r="J49" s="1" t="s">
        <v>32</v>
      </c>
      <c r="K49" s="1" t="s">
        <v>501</v>
      </c>
      <c r="L49" s="1" t="s">
        <v>32</v>
      </c>
      <c r="M49" s="1" t="s">
        <v>32</v>
      </c>
      <c r="N49" s="1" t="s">
        <v>32</v>
      </c>
      <c r="O49" s="1" t="s">
        <v>32</v>
      </c>
      <c r="P49" s="1" t="s">
        <v>33</v>
      </c>
      <c r="Q49" s="1" t="s">
        <v>503</v>
      </c>
      <c r="R49" s="3"/>
      <c r="S49" s="3" t="s">
        <v>498</v>
      </c>
      <c r="T49" s="3">
        <f t="shared" si="2"/>
        <v>7</v>
      </c>
      <c r="U49" s="14">
        <f t="shared" si="3"/>
        <v>0.14285714285714285</v>
      </c>
      <c r="V49" s="10">
        <f>300*표1[[#This Row],[열1]]</f>
        <v>42.857142857142854</v>
      </c>
    </row>
    <row r="50" spans="1:22" hidden="1">
      <c r="A50" s="2">
        <v>49</v>
      </c>
      <c r="B50" s="1" t="s">
        <v>18</v>
      </c>
      <c r="C50" s="1" t="s">
        <v>504</v>
      </c>
      <c r="D50" s="1" t="s">
        <v>445</v>
      </c>
      <c r="E50" s="1" t="s">
        <v>505</v>
      </c>
      <c r="F50" s="1" t="s">
        <v>506</v>
      </c>
      <c r="G50" s="1" t="s">
        <v>507</v>
      </c>
      <c r="H50" s="1" t="s">
        <v>508</v>
      </c>
      <c r="I50" s="1" t="s">
        <v>32</v>
      </c>
      <c r="J50" s="1" t="s">
        <v>32</v>
      </c>
      <c r="K50" s="1" t="s">
        <v>507</v>
      </c>
      <c r="L50" s="1" t="s">
        <v>32</v>
      </c>
      <c r="M50" s="1" t="s">
        <v>32</v>
      </c>
      <c r="N50" s="1" t="s">
        <v>32</v>
      </c>
      <c r="O50" s="1" t="s">
        <v>32</v>
      </c>
      <c r="P50" s="1" t="s">
        <v>450</v>
      </c>
      <c r="Q50" s="1" t="s">
        <v>482</v>
      </c>
      <c r="R50" s="3"/>
      <c r="S50" s="3" t="s">
        <v>157</v>
      </c>
      <c r="T50" s="3">
        <f t="shared" si="2"/>
        <v>7</v>
      </c>
      <c r="U50" s="14">
        <f t="shared" si="3"/>
        <v>0.14285714285714285</v>
      </c>
      <c r="V50" s="10">
        <f>300*표1[[#This Row],[열1]]</f>
        <v>42.857142857142854</v>
      </c>
    </row>
    <row r="51" spans="1:22" hidden="1">
      <c r="A51" s="2">
        <v>50</v>
      </c>
      <c r="B51" s="1" t="s">
        <v>18</v>
      </c>
      <c r="C51" s="1" t="s">
        <v>483</v>
      </c>
      <c r="D51" s="1" t="s">
        <v>445</v>
      </c>
      <c r="E51" s="1" t="s">
        <v>510</v>
      </c>
      <c r="F51" s="1" t="s">
        <v>511</v>
      </c>
      <c r="G51" s="1" t="s">
        <v>512</v>
      </c>
      <c r="H51" s="1" t="s">
        <v>513</v>
      </c>
      <c r="I51" s="1" t="s">
        <v>32</v>
      </c>
      <c r="J51" s="1" t="s">
        <v>32</v>
      </c>
      <c r="K51" s="1" t="s">
        <v>512</v>
      </c>
      <c r="L51" s="1" t="s">
        <v>514</v>
      </c>
      <c r="M51" s="1" t="s">
        <v>515</v>
      </c>
      <c r="N51" s="1" t="s">
        <v>32</v>
      </c>
      <c r="O51" s="1" t="s">
        <v>32</v>
      </c>
      <c r="P51" s="1" t="s">
        <v>450</v>
      </c>
      <c r="Q51" s="1" t="s">
        <v>516</v>
      </c>
      <c r="R51" s="3"/>
      <c r="S51" s="3" t="s">
        <v>509</v>
      </c>
      <c r="T51" s="3">
        <f t="shared" si="2"/>
        <v>6</v>
      </c>
      <c r="U51" s="14">
        <f t="shared" si="3"/>
        <v>0.16666666666666666</v>
      </c>
      <c r="V51" s="10">
        <f>300*표1[[#This Row],[열1]]</f>
        <v>50</v>
      </c>
    </row>
    <row r="52" spans="1:22" hidden="1">
      <c r="A52" s="2">
        <v>51</v>
      </c>
      <c r="B52" s="1" t="s">
        <v>18</v>
      </c>
      <c r="C52" s="1" t="s">
        <v>483</v>
      </c>
      <c r="D52" s="1" t="s">
        <v>445</v>
      </c>
      <c r="E52" s="1" t="s">
        <v>518</v>
      </c>
      <c r="F52" s="1" t="s">
        <v>519</v>
      </c>
      <c r="G52" s="1" t="s">
        <v>520</v>
      </c>
      <c r="H52" s="1" t="s">
        <v>521</v>
      </c>
      <c r="I52" s="1" t="s">
        <v>32</v>
      </c>
      <c r="J52" s="1" t="s">
        <v>32</v>
      </c>
      <c r="K52" s="1" t="s">
        <v>520</v>
      </c>
      <c r="L52" s="1" t="s">
        <v>522</v>
      </c>
      <c r="M52" s="1" t="s">
        <v>523</v>
      </c>
      <c r="N52" s="1" t="s">
        <v>32</v>
      </c>
      <c r="O52" s="1" t="s">
        <v>32</v>
      </c>
      <c r="P52" s="1" t="s">
        <v>33</v>
      </c>
      <c r="Q52" s="1" t="s">
        <v>516</v>
      </c>
      <c r="R52" s="3"/>
      <c r="S52" s="3" t="s">
        <v>517</v>
      </c>
      <c r="T52" s="3">
        <f t="shared" si="2"/>
        <v>6</v>
      </c>
      <c r="U52" s="14">
        <f t="shared" si="3"/>
        <v>0.16666666666666666</v>
      </c>
      <c r="V52" s="10">
        <f>300*표1[[#This Row],[열1]]</f>
        <v>50</v>
      </c>
    </row>
    <row r="53" spans="1:22" hidden="1">
      <c r="A53" s="2">
        <v>52</v>
      </c>
      <c r="B53" s="1" t="s">
        <v>18</v>
      </c>
      <c r="C53" s="1" t="s">
        <v>483</v>
      </c>
      <c r="D53" s="1" t="s">
        <v>445</v>
      </c>
      <c r="E53" s="1" t="s">
        <v>525</v>
      </c>
      <c r="F53" s="1" t="s">
        <v>526</v>
      </c>
      <c r="G53" s="1" t="s">
        <v>527</v>
      </c>
      <c r="H53" s="1" t="s">
        <v>528</v>
      </c>
      <c r="I53" s="1" t="s">
        <v>32</v>
      </c>
      <c r="J53" s="1" t="s">
        <v>32</v>
      </c>
      <c r="K53" s="1" t="s">
        <v>527</v>
      </c>
      <c r="L53" s="1" t="s">
        <v>529</v>
      </c>
      <c r="M53" s="1" t="s">
        <v>530</v>
      </c>
      <c r="N53" s="1" t="s">
        <v>32</v>
      </c>
      <c r="O53" s="1" t="s">
        <v>32</v>
      </c>
      <c r="P53" s="1" t="s">
        <v>450</v>
      </c>
      <c r="Q53" s="1" t="s">
        <v>531</v>
      </c>
      <c r="R53" s="3"/>
      <c r="S53" s="3" t="s">
        <v>524</v>
      </c>
      <c r="T53" s="3">
        <f t="shared" si="2"/>
        <v>7</v>
      </c>
      <c r="U53" s="14">
        <f t="shared" si="3"/>
        <v>0.14285714285714285</v>
      </c>
      <c r="V53" s="10">
        <f>300*표1[[#This Row],[열1]]</f>
        <v>42.857142857142854</v>
      </c>
    </row>
    <row r="54" spans="1:22" hidden="1">
      <c r="A54" s="2">
        <v>53</v>
      </c>
      <c r="B54" s="1" t="s">
        <v>18</v>
      </c>
      <c r="C54" s="1" t="s">
        <v>532</v>
      </c>
      <c r="D54" s="1" t="s">
        <v>445</v>
      </c>
      <c r="E54" s="1" t="s">
        <v>533</v>
      </c>
      <c r="F54" s="1" t="s">
        <v>534</v>
      </c>
      <c r="G54" s="1" t="s">
        <v>535</v>
      </c>
      <c r="H54" s="1" t="s">
        <v>536</v>
      </c>
      <c r="I54" s="1" t="s">
        <v>32</v>
      </c>
      <c r="J54" s="1" t="s">
        <v>32</v>
      </c>
      <c r="K54" s="1" t="s">
        <v>535</v>
      </c>
      <c r="L54" s="1" t="s">
        <v>32</v>
      </c>
      <c r="M54" s="1" t="s">
        <v>32</v>
      </c>
      <c r="N54" s="1" t="s">
        <v>32</v>
      </c>
      <c r="O54" s="1" t="s">
        <v>32</v>
      </c>
      <c r="P54" s="1" t="s">
        <v>33</v>
      </c>
      <c r="Q54" s="1" t="s">
        <v>77</v>
      </c>
      <c r="R54" s="3"/>
      <c r="S54" s="3" t="s">
        <v>66</v>
      </c>
      <c r="T54" s="3">
        <f t="shared" si="2"/>
        <v>7</v>
      </c>
      <c r="U54" s="14">
        <f t="shared" si="3"/>
        <v>0.14285714285714285</v>
      </c>
      <c r="V54" s="10">
        <f>300*표1[[#This Row],[열1]]</f>
        <v>42.857142857142854</v>
      </c>
    </row>
    <row r="55" spans="1:22" hidden="1">
      <c r="A55" s="2">
        <v>54</v>
      </c>
      <c r="B55" s="1" t="s">
        <v>18</v>
      </c>
      <c r="C55" s="1" t="s">
        <v>537</v>
      </c>
      <c r="D55" s="1" t="s">
        <v>445</v>
      </c>
      <c r="E55" s="1" t="s">
        <v>539</v>
      </c>
      <c r="F55" s="1" t="s">
        <v>63</v>
      </c>
      <c r="G55" s="1" t="s">
        <v>540</v>
      </c>
      <c r="H55" s="1" t="s">
        <v>70</v>
      </c>
      <c r="I55" s="1" t="s">
        <v>32</v>
      </c>
      <c r="J55" s="1" t="s">
        <v>32</v>
      </c>
      <c r="K55" s="1" t="s">
        <v>540</v>
      </c>
      <c r="L55" s="1" t="s">
        <v>541</v>
      </c>
      <c r="M55" s="1" t="s">
        <v>542</v>
      </c>
      <c r="N55" s="1" t="s">
        <v>32</v>
      </c>
      <c r="O55" s="1" t="s">
        <v>32</v>
      </c>
      <c r="P55" s="1" t="s">
        <v>450</v>
      </c>
      <c r="Q55" s="1" t="s">
        <v>543</v>
      </c>
      <c r="R55" s="3"/>
      <c r="S55" s="3" t="s">
        <v>538</v>
      </c>
      <c r="T55" s="3">
        <f t="shared" si="2"/>
        <v>6</v>
      </c>
      <c r="U55" s="14">
        <f t="shared" si="3"/>
        <v>0.16666666666666666</v>
      </c>
      <c r="V55" s="10">
        <f>300*표1[[#This Row],[열1]]</f>
        <v>50</v>
      </c>
    </row>
    <row r="56" spans="1:22" hidden="1">
      <c r="A56" s="2">
        <v>55</v>
      </c>
      <c r="B56" s="1" t="s">
        <v>18</v>
      </c>
      <c r="C56" s="1" t="s">
        <v>544</v>
      </c>
      <c r="D56" s="1" t="s">
        <v>445</v>
      </c>
      <c r="E56" s="1" t="s">
        <v>546</v>
      </c>
      <c r="F56" s="1" t="s">
        <v>159</v>
      </c>
      <c r="G56" s="1" t="s">
        <v>547</v>
      </c>
      <c r="H56" s="1" t="s">
        <v>548</v>
      </c>
      <c r="I56" s="1" t="s">
        <v>32</v>
      </c>
      <c r="J56" s="1" t="s">
        <v>32</v>
      </c>
      <c r="K56" s="1" t="s">
        <v>547</v>
      </c>
      <c r="L56" s="1" t="s">
        <v>549</v>
      </c>
      <c r="M56" s="1" t="s">
        <v>165</v>
      </c>
      <c r="N56" s="1" t="s">
        <v>32</v>
      </c>
      <c r="O56" s="1" t="s">
        <v>32</v>
      </c>
      <c r="P56" s="1" t="s">
        <v>450</v>
      </c>
      <c r="Q56" s="1" t="s">
        <v>550</v>
      </c>
      <c r="R56" s="3"/>
      <c r="S56" s="3" t="s">
        <v>545</v>
      </c>
      <c r="T56" s="3">
        <f t="shared" si="2"/>
        <v>6</v>
      </c>
      <c r="U56" s="14">
        <f t="shared" si="3"/>
        <v>0.16666666666666666</v>
      </c>
      <c r="V56" s="10">
        <f>300*표1[[#This Row],[열1]]</f>
        <v>50</v>
      </c>
    </row>
    <row r="57" spans="1:22" hidden="1">
      <c r="A57" s="2">
        <v>56</v>
      </c>
      <c r="B57" s="1" t="s">
        <v>18</v>
      </c>
      <c r="C57" s="1" t="s">
        <v>551</v>
      </c>
      <c r="D57" s="1" t="s">
        <v>445</v>
      </c>
      <c r="E57" s="1" t="s">
        <v>553</v>
      </c>
      <c r="F57" s="1" t="s">
        <v>478</v>
      </c>
      <c r="G57" s="1" t="s">
        <v>554</v>
      </c>
      <c r="H57" s="1" t="s">
        <v>70</v>
      </c>
      <c r="I57" s="1" t="s">
        <v>32</v>
      </c>
      <c r="J57" s="1" t="s">
        <v>32</v>
      </c>
      <c r="K57" s="1" t="s">
        <v>554</v>
      </c>
      <c r="L57" s="1" t="s">
        <v>555</v>
      </c>
      <c r="M57" s="1" t="s">
        <v>481</v>
      </c>
      <c r="N57" s="1" t="s">
        <v>32</v>
      </c>
      <c r="O57" s="1" t="s">
        <v>32</v>
      </c>
      <c r="P57" s="1" t="s">
        <v>33</v>
      </c>
      <c r="Q57" s="1" t="s">
        <v>556</v>
      </c>
      <c r="R57" s="3"/>
      <c r="S57" s="3" t="s">
        <v>552</v>
      </c>
      <c r="T57" s="3">
        <f t="shared" si="2"/>
        <v>6</v>
      </c>
      <c r="U57" s="14">
        <f t="shared" si="3"/>
        <v>0.16666666666666666</v>
      </c>
      <c r="V57" s="10">
        <f>300*표1[[#This Row],[열1]]</f>
        <v>50</v>
      </c>
    </row>
    <row r="58" spans="1:22" hidden="1">
      <c r="A58" s="2">
        <v>57</v>
      </c>
      <c r="B58" s="1" t="s">
        <v>18</v>
      </c>
      <c r="C58" s="1" t="s">
        <v>483</v>
      </c>
      <c r="D58" s="1" t="s">
        <v>445</v>
      </c>
      <c r="E58" s="1" t="s">
        <v>558</v>
      </c>
      <c r="F58" s="1" t="s">
        <v>559</v>
      </c>
      <c r="G58" s="1" t="s">
        <v>560</v>
      </c>
      <c r="H58" s="1" t="s">
        <v>561</v>
      </c>
      <c r="I58" s="1" t="s">
        <v>32</v>
      </c>
      <c r="J58" s="1" t="s">
        <v>32</v>
      </c>
      <c r="K58" s="1" t="s">
        <v>560</v>
      </c>
      <c r="L58" s="1" t="s">
        <v>562</v>
      </c>
      <c r="M58" s="1" t="s">
        <v>563</v>
      </c>
      <c r="N58" s="1" t="s">
        <v>32</v>
      </c>
      <c r="O58" s="1" t="s">
        <v>32</v>
      </c>
      <c r="P58" s="1" t="s">
        <v>450</v>
      </c>
      <c r="Q58" s="1" t="s">
        <v>531</v>
      </c>
      <c r="R58" s="3"/>
      <c r="S58" s="3" t="s">
        <v>557</v>
      </c>
      <c r="T58" s="3">
        <f t="shared" si="2"/>
        <v>7</v>
      </c>
      <c r="U58" s="14">
        <f t="shared" si="3"/>
        <v>0.14285714285714285</v>
      </c>
      <c r="V58" s="10">
        <f>300*표1[[#This Row],[열1]]</f>
        <v>42.857142857142854</v>
      </c>
    </row>
    <row r="59" spans="1:22" hidden="1">
      <c r="A59" s="2">
        <v>58</v>
      </c>
      <c r="B59" s="1" t="s">
        <v>18</v>
      </c>
      <c r="C59" s="1" t="s">
        <v>564</v>
      </c>
      <c r="D59" s="1" t="s">
        <v>445</v>
      </c>
      <c r="E59" s="1" t="s">
        <v>566</v>
      </c>
      <c r="F59" s="1" t="s">
        <v>307</v>
      </c>
      <c r="G59" s="1" t="s">
        <v>567</v>
      </c>
      <c r="H59" s="1" t="s">
        <v>568</v>
      </c>
      <c r="I59" s="1" t="s">
        <v>32</v>
      </c>
      <c r="J59" s="1" t="s">
        <v>32</v>
      </c>
      <c r="K59" s="1" t="s">
        <v>567</v>
      </c>
      <c r="L59" s="1" t="s">
        <v>569</v>
      </c>
      <c r="M59" s="1" t="s">
        <v>570</v>
      </c>
      <c r="N59" s="1" t="s">
        <v>32</v>
      </c>
      <c r="O59" s="1" t="s">
        <v>32</v>
      </c>
      <c r="P59" s="1" t="s">
        <v>33</v>
      </c>
      <c r="Q59" s="1" t="s">
        <v>482</v>
      </c>
      <c r="R59" s="3"/>
      <c r="S59" s="3" t="s">
        <v>565</v>
      </c>
      <c r="T59" s="3">
        <f t="shared" si="2"/>
        <v>7</v>
      </c>
      <c r="U59" s="14">
        <f t="shared" si="3"/>
        <v>0.14285714285714285</v>
      </c>
      <c r="V59" s="10">
        <f>300*표1[[#This Row],[열1]]</f>
        <v>42.857142857142854</v>
      </c>
    </row>
    <row r="60" spans="1:22" hidden="1">
      <c r="A60" s="2">
        <v>59</v>
      </c>
      <c r="B60" s="1" t="s">
        <v>18</v>
      </c>
      <c r="C60" s="1" t="s">
        <v>483</v>
      </c>
      <c r="D60" s="1" t="s">
        <v>445</v>
      </c>
      <c r="E60" s="1" t="s">
        <v>572</v>
      </c>
      <c r="F60" s="1" t="s">
        <v>526</v>
      </c>
      <c r="G60" s="1" t="s">
        <v>573</v>
      </c>
      <c r="H60" s="1" t="s">
        <v>574</v>
      </c>
      <c r="I60" s="1" t="s">
        <v>32</v>
      </c>
      <c r="J60" s="1" t="s">
        <v>32</v>
      </c>
      <c r="K60" s="1" t="s">
        <v>573</v>
      </c>
      <c r="L60" s="1" t="s">
        <v>575</v>
      </c>
      <c r="M60" s="1" t="s">
        <v>530</v>
      </c>
      <c r="N60" s="1" t="s">
        <v>32</v>
      </c>
      <c r="O60" s="1" t="s">
        <v>32</v>
      </c>
      <c r="P60" s="1" t="s">
        <v>450</v>
      </c>
      <c r="Q60" s="1" t="s">
        <v>531</v>
      </c>
      <c r="R60" s="3"/>
      <c r="S60" s="3" t="s">
        <v>571</v>
      </c>
      <c r="T60" s="3">
        <f t="shared" si="2"/>
        <v>7</v>
      </c>
      <c r="U60" s="14">
        <f t="shared" si="3"/>
        <v>0.14285714285714285</v>
      </c>
      <c r="V60" s="10">
        <f>300*표1[[#This Row],[열1]]</f>
        <v>42.857142857142854</v>
      </c>
    </row>
    <row r="61" spans="1:22" hidden="1">
      <c r="A61" s="2">
        <v>60</v>
      </c>
      <c r="B61" s="1" t="s">
        <v>18</v>
      </c>
      <c r="C61" s="1" t="s">
        <v>576</v>
      </c>
      <c r="D61" s="1" t="s">
        <v>445</v>
      </c>
      <c r="E61" s="1" t="s">
        <v>578</v>
      </c>
      <c r="F61" s="1" t="s">
        <v>167</v>
      </c>
      <c r="G61" s="1" t="s">
        <v>579</v>
      </c>
      <c r="H61" s="1" t="s">
        <v>265</v>
      </c>
      <c r="I61" s="1" t="s">
        <v>32</v>
      </c>
      <c r="J61" s="1" t="s">
        <v>32</v>
      </c>
      <c r="K61" s="1" t="s">
        <v>579</v>
      </c>
      <c r="L61" s="1" t="s">
        <v>580</v>
      </c>
      <c r="M61" s="1" t="s">
        <v>581</v>
      </c>
      <c r="N61" s="1" t="s">
        <v>32</v>
      </c>
      <c r="O61" s="1" t="s">
        <v>32</v>
      </c>
      <c r="P61" s="1" t="s">
        <v>33</v>
      </c>
      <c r="Q61" s="1" t="s">
        <v>516</v>
      </c>
      <c r="R61" s="3"/>
      <c r="S61" s="3" t="s">
        <v>577</v>
      </c>
      <c r="T61" s="3">
        <f t="shared" si="2"/>
        <v>6</v>
      </c>
      <c r="U61" s="14">
        <f t="shared" si="3"/>
        <v>0.16666666666666666</v>
      </c>
      <c r="V61" s="10">
        <f>300*표1[[#This Row],[열1]]</f>
        <v>50</v>
      </c>
    </row>
    <row r="62" spans="1:22" hidden="1">
      <c r="A62" s="2">
        <v>61</v>
      </c>
      <c r="B62" s="1" t="s">
        <v>18</v>
      </c>
      <c r="C62" s="1" t="s">
        <v>582</v>
      </c>
      <c r="D62" s="1" t="s">
        <v>445</v>
      </c>
      <c r="E62" s="1" t="s">
        <v>584</v>
      </c>
      <c r="F62" s="1" t="s">
        <v>585</v>
      </c>
      <c r="G62" s="1" t="s">
        <v>586</v>
      </c>
      <c r="H62" s="1" t="s">
        <v>587</v>
      </c>
      <c r="I62" s="1" t="s">
        <v>32</v>
      </c>
      <c r="J62" s="1" t="s">
        <v>32</v>
      </c>
      <c r="K62" s="1" t="s">
        <v>586</v>
      </c>
      <c r="L62" s="1" t="s">
        <v>588</v>
      </c>
      <c r="M62" s="1" t="s">
        <v>589</v>
      </c>
      <c r="N62" s="1" t="s">
        <v>32</v>
      </c>
      <c r="O62" s="1" t="s">
        <v>32</v>
      </c>
      <c r="P62" s="1" t="s">
        <v>33</v>
      </c>
      <c r="Q62" s="1" t="s">
        <v>590</v>
      </c>
      <c r="R62" s="3"/>
      <c r="S62" s="3" t="s">
        <v>583</v>
      </c>
      <c r="T62" s="3">
        <f t="shared" si="2"/>
        <v>5</v>
      </c>
      <c r="U62" s="14">
        <f t="shared" si="3"/>
        <v>0.2</v>
      </c>
      <c r="V62" s="10">
        <f>300*표1[[#This Row],[열1]]</f>
        <v>60</v>
      </c>
    </row>
    <row r="63" spans="1:22" hidden="1">
      <c r="A63" s="2">
        <v>62</v>
      </c>
      <c r="B63" s="1" t="s">
        <v>18</v>
      </c>
      <c r="C63" s="1" t="s">
        <v>591</v>
      </c>
      <c r="D63" s="1" t="s">
        <v>445</v>
      </c>
      <c r="E63" s="1" t="s">
        <v>593</v>
      </c>
      <c r="F63" s="1" t="s">
        <v>594</v>
      </c>
      <c r="G63" s="1" t="s">
        <v>595</v>
      </c>
      <c r="H63" s="1" t="s">
        <v>144</v>
      </c>
      <c r="I63" s="1" t="s">
        <v>32</v>
      </c>
      <c r="J63" s="1" t="s">
        <v>32</v>
      </c>
      <c r="K63" s="1" t="s">
        <v>595</v>
      </c>
      <c r="L63" s="1" t="s">
        <v>596</v>
      </c>
      <c r="M63" s="1" t="s">
        <v>597</v>
      </c>
      <c r="N63" s="1" t="s">
        <v>32</v>
      </c>
      <c r="O63" s="1" t="s">
        <v>32</v>
      </c>
      <c r="P63" s="1" t="s">
        <v>257</v>
      </c>
      <c r="Q63" s="1" t="s">
        <v>598</v>
      </c>
      <c r="R63" s="3"/>
      <c r="S63" s="3" t="s">
        <v>592</v>
      </c>
      <c r="T63" s="3">
        <f t="shared" si="2"/>
        <v>5</v>
      </c>
      <c r="U63" s="14">
        <f t="shared" si="3"/>
        <v>0.2</v>
      </c>
      <c r="V63" s="10">
        <f>300*표1[[#This Row],[열1]]</f>
        <v>60</v>
      </c>
    </row>
    <row r="64" spans="1:22" hidden="1">
      <c r="A64" s="2">
        <v>63</v>
      </c>
      <c r="B64" s="1" t="s">
        <v>18</v>
      </c>
      <c r="C64" s="1" t="s">
        <v>599</v>
      </c>
      <c r="D64" s="1" t="s">
        <v>445</v>
      </c>
      <c r="E64" s="1" t="s">
        <v>601</v>
      </c>
      <c r="F64" s="1" t="s">
        <v>602</v>
      </c>
      <c r="G64" s="1" t="s">
        <v>603</v>
      </c>
      <c r="H64" s="1" t="s">
        <v>604</v>
      </c>
      <c r="I64" s="1" t="s">
        <v>32</v>
      </c>
      <c r="J64" s="1" t="s">
        <v>32</v>
      </c>
      <c r="K64" s="1" t="s">
        <v>603</v>
      </c>
      <c r="L64" s="1" t="s">
        <v>605</v>
      </c>
      <c r="M64" s="1" t="s">
        <v>606</v>
      </c>
      <c r="N64" s="1" t="s">
        <v>32</v>
      </c>
      <c r="O64" s="1" t="s">
        <v>32</v>
      </c>
      <c r="P64" s="1" t="s">
        <v>450</v>
      </c>
      <c r="Q64" s="1" t="s">
        <v>598</v>
      </c>
      <c r="R64" s="3"/>
      <c r="S64" s="3" t="s">
        <v>600</v>
      </c>
      <c r="T64" s="3">
        <f t="shared" si="2"/>
        <v>5</v>
      </c>
      <c r="U64" s="14">
        <f t="shared" si="3"/>
        <v>0.2</v>
      </c>
      <c r="V64" s="10">
        <f>300*표1[[#This Row],[열1]]</f>
        <v>60</v>
      </c>
    </row>
    <row r="65" spans="1:22" hidden="1">
      <c r="A65" s="2">
        <v>64</v>
      </c>
      <c r="B65" s="1" t="s">
        <v>18</v>
      </c>
      <c r="C65" s="1" t="s">
        <v>607</v>
      </c>
      <c r="D65" s="1" t="s">
        <v>445</v>
      </c>
      <c r="E65" s="1" t="s">
        <v>609</v>
      </c>
      <c r="F65" s="1" t="s">
        <v>610</v>
      </c>
      <c r="G65" s="1" t="s">
        <v>611</v>
      </c>
      <c r="H65" s="1" t="s">
        <v>612</v>
      </c>
      <c r="I65" s="1" t="s">
        <v>32</v>
      </c>
      <c r="J65" s="1" t="s">
        <v>32</v>
      </c>
      <c r="K65" s="1" t="s">
        <v>611</v>
      </c>
      <c r="L65" s="1" t="s">
        <v>613</v>
      </c>
      <c r="M65" s="1" t="s">
        <v>614</v>
      </c>
      <c r="N65" s="1" t="s">
        <v>32</v>
      </c>
      <c r="O65" s="1" t="s">
        <v>32</v>
      </c>
      <c r="P65" s="1" t="s">
        <v>450</v>
      </c>
      <c r="Q65" s="1" t="s">
        <v>556</v>
      </c>
      <c r="R65" s="3"/>
      <c r="S65" s="3" t="s">
        <v>608</v>
      </c>
      <c r="T65" s="3">
        <f t="shared" si="2"/>
        <v>6</v>
      </c>
      <c r="U65" s="14">
        <f t="shared" si="3"/>
        <v>0.16666666666666666</v>
      </c>
      <c r="V65" s="10">
        <f>300*표1[[#This Row],[열1]]</f>
        <v>50</v>
      </c>
    </row>
    <row r="66" spans="1:22" hidden="1">
      <c r="A66" s="2">
        <v>65</v>
      </c>
      <c r="B66" s="1" t="s">
        <v>18</v>
      </c>
      <c r="C66" s="1" t="s">
        <v>483</v>
      </c>
      <c r="D66" s="1" t="s">
        <v>445</v>
      </c>
      <c r="E66" s="1" t="s">
        <v>616</v>
      </c>
      <c r="F66" s="1" t="s">
        <v>617</v>
      </c>
      <c r="G66" s="1" t="s">
        <v>618</v>
      </c>
      <c r="H66" s="1" t="s">
        <v>619</v>
      </c>
      <c r="I66" s="1" t="s">
        <v>32</v>
      </c>
      <c r="J66" s="1" t="s">
        <v>32</v>
      </c>
      <c r="K66" s="1" t="s">
        <v>618</v>
      </c>
      <c r="L66" s="1" t="s">
        <v>620</v>
      </c>
      <c r="M66" s="1" t="s">
        <v>621</v>
      </c>
      <c r="N66" s="1" t="s">
        <v>32</v>
      </c>
      <c r="O66" s="1" t="s">
        <v>32</v>
      </c>
      <c r="P66" s="1" t="s">
        <v>33</v>
      </c>
      <c r="Q66" s="1" t="s">
        <v>531</v>
      </c>
      <c r="R66" s="3"/>
      <c r="S66" s="3" t="s">
        <v>615</v>
      </c>
      <c r="T66" s="3">
        <f t="shared" ref="T66:T99" si="4">COUNTA(_xlfn.TEXTSPLIT(Q66, "|"))</f>
        <v>7</v>
      </c>
      <c r="U66" s="14">
        <f t="shared" ref="U66:U99" si="5">_xlfn.LET(
    _xlpm.authors, _xlfn.TEXTSPLIT(Q66, "|"),
    _xlpm.countAuthors, COUNTA(_xlpm.authors),
    _xlpm.ratio, 1 / _xlpm.countAuthors,
    _xlpm.ratio
)</f>
        <v>0.14285714285714285</v>
      </c>
      <c r="V66" s="10">
        <f>300*표1[[#This Row],[열1]]</f>
        <v>42.857142857142854</v>
      </c>
    </row>
    <row r="67" spans="1:22" hidden="1">
      <c r="A67" s="2">
        <v>66</v>
      </c>
      <c r="B67" s="1" t="s">
        <v>18</v>
      </c>
      <c r="C67" s="1" t="s">
        <v>622</v>
      </c>
      <c r="D67" s="1" t="s">
        <v>445</v>
      </c>
      <c r="E67" s="1" t="s">
        <v>624</v>
      </c>
      <c r="F67" s="1" t="s">
        <v>63</v>
      </c>
      <c r="G67" s="1" t="s">
        <v>625</v>
      </c>
      <c r="H67" s="1" t="s">
        <v>70</v>
      </c>
      <c r="I67" s="1" t="s">
        <v>32</v>
      </c>
      <c r="J67" s="1" t="s">
        <v>32</v>
      </c>
      <c r="K67" s="1" t="s">
        <v>625</v>
      </c>
      <c r="L67" s="1" t="s">
        <v>626</v>
      </c>
      <c r="M67" s="1" t="s">
        <v>542</v>
      </c>
      <c r="N67" s="1" t="s">
        <v>32</v>
      </c>
      <c r="O67" s="1" t="s">
        <v>32</v>
      </c>
      <c r="P67" s="1" t="s">
        <v>33</v>
      </c>
      <c r="Q67" s="1" t="s">
        <v>543</v>
      </c>
      <c r="R67" s="3"/>
      <c r="S67" s="3" t="s">
        <v>623</v>
      </c>
      <c r="T67" s="3">
        <f t="shared" si="4"/>
        <v>6</v>
      </c>
      <c r="U67" s="14">
        <f t="shared" si="5"/>
        <v>0.16666666666666666</v>
      </c>
      <c r="V67" s="10">
        <f>300*표1[[#This Row],[열1]]</f>
        <v>50</v>
      </c>
    </row>
    <row r="68" spans="1:22" hidden="1">
      <c r="A68" s="2">
        <v>67</v>
      </c>
      <c r="B68" s="1" t="s">
        <v>18</v>
      </c>
      <c r="C68" s="1" t="s">
        <v>627</v>
      </c>
      <c r="D68" s="1" t="s">
        <v>445</v>
      </c>
      <c r="E68" s="1" t="s">
        <v>629</v>
      </c>
      <c r="F68" s="1" t="s">
        <v>68</v>
      </c>
      <c r="G68" s="1" t="s">
        <v>630</v>
      </c>
      <c r="H68" s="1" t="s">
        <v>70</v>
      </c>
      <c r="I68" s="1" t="s">
        <v>32</v>
      </c>
      <c r="J68" s="1" t="s">
        <v>32</v>
      </c>
      <c r="K68" s="1" t="s">
        <v>630</v>
      </c>
      <c r="L68" s="1" t="s">
        <v>631</v>
      </c>
      <c r="M68" s="1" t="s">
        <v>74</v>
      </c>
      <c r="N68" s="1" t="s">
        <v>32</v>
      </c>
      <c r="O68" s="1" t="s">
        <v>32</v>
      </c>
      <c r="P68" s="1" t="s">
        <v>33</v>
      </c>
      <c r="Q68" s="1" t="s">
        <v>632</v>
      </c>
      <c r="R68" s="3"/>
      <c r="S68" s="3" t="s">
        <v>628</v>
      </c>
      <c r="T68" s="3">
        <f t="shared" si="4"/>
        <v>6</v>
      </c>
      <c r="U68" s="14">
        <f t="shared" si="5"/>
        <v>0.16666666666666666</v>
      </c>
      <c r="V68" s="10">
        <f>300*표1[[#This Row],[열1]]</f>
        <v>50</v>
      </c>
    </row>
    <row r="69" spans="1:22" hidden="1">
      <c r="A69" s="2">
        <v>68</v>
      </c>
      <c r="B69" s="1" t="s">
        <v>18</v>
      </c>
      <c r="C69" s="1" t="s">
        <v>633</v>
      </c>
      <c r="D69" s="1" t="s">
        <v>445</v>
      </c>
      <c r="E69" s="1" t="s">
        <v>635</v>
      </c>
      <c r="F69" s="1" t="s">
        <v>636</v>
      </c>
      <c r="G69" s="1" t="s">
        <v>637</v>
      </c>
      <c r="H69" s="1" t="s">
        <v>267</v>
      </c>
      <c r="I69" s="1" t="s">
        <v>32</v>
      </c>
      <c r="J69" s="1" t="s">
        <v>32</v>
      </c>
      <c r="K69" s="1" t="s">
        <v>637</v>
      </c>
      <c r="L69" s="1" t="s">
        <v>638</v>
      </c>
      <c r="M69" s="1" t="s">
        <v>639</v>
      </c>
      <c r="N69" s="1" t="s">
        <v>32</v>
      </c>
      <c r="O69" s="1" t="s">
        <v>32</v>
      </c>
      <c r="P69" s="1" t="s">
        <v>450</v>
      </c>
      <c r="Q69" s="1" t="s">
        <v>598</v>
      </c>
      <c r="R69" s="3"/>
      <c r="S69" s="3" t="s">
        <v>634</v>
      </c>
      <c r="T69" s="3">
        <f t="shared" si="4"/>
        <v>5</v>
      </c>
      <c r="U69" s="14">
        <f t="shared" si="5"/>
        <v>0.2</v>
      </c>
      <c r="V69" s="10">
        <f>300*표1[[#This Row],[열1]]</f>
        <v>60</v>
      </c>
    </row>
    <row r="70" spans="1:22" hidden="1">
      <c r="A70" s="2">
        <v>69</v>
      </c>
      <c r="B70" s="1" t="s">
        <v>18</v>
      </c>
      <c r="C70" s="1" t="s">
        <v>640</v>
      </c>
      <c r="D70" s="1" t="s">
        <v>445</v>
      </c>
      <c r="E70" s="1" t="s">
        <v>642</v>
      </c>
      <c r="F70" s="1" t="s">
        <v>105</v>
      </c>
      <c r="G70" s="1" t="s">
        <v>643</v>
      </c>
      <c r="H70" s="1" t="s">
        <v>644</v>
      </c>
      <c r="I70" s="1" t="s">
        <v>32</v>
      </c>
      <c r="J70" s="1" t="s">
        <v>32</v>
      </c>
      <c r="K70" s="1" t="s">
        <v>643</v>
      </c>
      <c r="L70" s="1" t="s">
        <v>645</v>
      </c>
      <c r="M70" s="1" t="s">
        <v>111</v>
      </c>
      <c r="N70" s="1" t="s">
        <v>32</v>
      </c>
      <c r="O70" s="1" t="s">
        <v>32</v>
      </c>
      <c r="P70" s="1" t="s">
        <v>257</v>
      </c>
      <c r="Q70" s="1" t="s">
        <v>550</v>
      </c>
      <c r="R70" s="3"/>
      <c r="S70" s="3" t="s">
        <v>641</v>
      </c>
      <c r="T70" s="3">
        <f t="shared" si="4"/>
        <v>6</v>
      </c>
      <c r="U70" s="14">
        <f t="shared" si="5"/>
        <v>0.16666666666666666</v>
      </c>
      <c r="V70" s="10">
        <f>300*표1[[#This Row],[열1]]</f>
        <v>50</v>
      </c>
    </row>
    <row r="71" spans="1:22" hidden="1">
      <c r="A71" s="2">
        <v>70</v>
      </c>
      <c r="B71" s="1" t="s">
        <v>18</v>
      </c>
      <c r="C71" s="1" t="s">
        <v>646</v>
      </c>
      <c r="D71" s="1" t="s">
        <v>445</v>
      </c>
      <c r="E71" s="1" t="s">
        <v>648</v>
      </c>
      <c r="F71" s="1" t="s">
        <v>559</v>
      </c>
      <c r="G71" s="1" t="s">
        <v>649</v>
      </c>
      <c r="H71" s="1" t="s">
        <v>650</v>
      </c>
      <c r="I71" s="1" t="s">
        <v>32</v>
      </c>
      <c r="J71" s="1" t="s">
        <v>32</v>
      </c>
      <c r="K71" s="1" t="s">
        <v>649</v>
      </c>
      <c r="L71" s="1" t="s">
        <v>651</v>
      </c>
      <c r="M71" s="1" t="s">
        <v>563</v>
      </c>
      <c r="N71" s="1" t="s">
        <v>32</v>
      </c>
      <c r="O71" s="1" t="s">
        <v>32</v>
      </c>
      <c r="P71" s="1" t="s">
        <v>450</v>
      </c>
      <c r="Q71" s="1" t="s">
        <v>531</v>
      </c>
      <c r="R71" s="3"/>
      <c r="S71" s="3" t="s">
        <v>647</v>
      </c>
      <c r="T71" s="3">
        <f t="shared" si="4"/>
        <v>7</v>
      </c>
      <c r="U71" s="14">
        <f t="shared" si="5"/>
        <v>0.14285714285714285</v>
      </c>
      <c r="V71" s="10">
        <f>300*표1[[#This Row],[열1]]</f>
        <v>42.857142857142854</v>
      </c>
    </row>
    <row r="72" spans="1:22" hidden="1">
      <c r="A72" s="2">
        <v>71</v>
      </c>
      <c r="B72" s="1" t="s">
        <v>18</v>
      </c>
      <c r="C72" s="1" t="s">
        <v>490</v>
      </c>
      <c r="D72" s="1" t="s">
        <v>445</v>
      </c>
      <c r="E72" s="1" t="s">
        <v>653</v>
      </c>
      <c r="F72" s="1" t="s">
        <v>559</v>
      </c>
      <c r="G72" s="1" t="s">
        <v>654</v>
      </c>
      <c r="H72" s="1" t="s">
        <v>655</v>
      </c>
      <c r="I72" s="1" t="s">
        <v>32</v>
      </c>
      <c r="J72" s="1" t="s">
        <v>32</v>
      </c>
      <c r="K72" s="1" t="s">
        <v>654</v>
      </c>
      <c r="L72" s="1" t="s">
        <v>656</v>
      </c>
      <c r="M72" s="1" t="s">
        <v>563</v>
      </c>
      <c r="N72" s="1" t="s">
        <v>32</v>
      </c>
      <c r="O72" s="1" t="s">
        <v>32</v>
      </c>
      <c r="P72" s="1" t="s">
        <v>450</v>
      </c>
      <c r="Q72" s="1" t="s">
        <v>657</v>
      </c>
      <c r="R72" s="3"/>
      <c r="S72" s="3" t="s">
        <v>652</v>
      </c>
      <c r="T72" s="3">
        <f t="shared" si="4"/>
        <v>7</v>
      </c>
      <c r="U72" s="14">
        <f t="shared" si="5"/>
        <v>0.14285714285714285</v>
      </c>
      <c r="V72" s="10">
        <f>300*표1[[#This Row],[열1]]</f>
        <v>42.857142857142854</v>
      </c>
    </row>
    <row r="73" spans="1:22" hidden="1">
      <c r="A73" s="2">
        <v>72</v>
      </c>
      <c r="B73" s="1" t="s">
        <v>18</v>
      </c>
      <c r="C73" s="1" t="s">
        <v>658</v>
      </c>
      <c r="D73" s="1" t="s">
        <v>445</v>
      </c>
      <c r="E73" s="1" t="s">
        <v>660</v>
      </c>
      <c r="F73" s="1" t="s">
        <v>105</v>
      </c>
      <c r="G73" s="1" t="s">
        <v>661</v>
      </c>
      <c r="H73" s="1" t="s">
        <v>119</v>
      </c>
      <c r="I73" s="1" t="s">
        <v>32</v>
      </c>
      <c r="J73" s="1" t="s">
        <v>32</v>
      </c>
      <c r="K73" s="1" t="s">
        <v>661</v>
      </c>
      <c r="L73" s="1" t="s">
        <v>662</v>
      </c>
      <c r="M73" s="1" t="s">
        <v>111</v>
      </c>
      <c r="N73" s="1" t="s">
        <v>32</v>
      </c>
      <c r="O73" s="1" t="s">
        <v>32</v>
      </c>
      <c r="P73" s="1" t="s">
        <v>33</v>
      </c>
      <c r="Q73" s="1" t="s">
        <v>64</v>
      </c>
      <c r="R73" s="3"/>
      <c r="S73" s="3" t="s">
        <v>659</v>
      </c>
      <c r="T73" s="3">
        <f t="shared" si="4"/>
        <v>6</v>
      </c>
      <c r="U73" s="14">
        <f t="shared" si="5"/>
        <v>0.16666666666666666</v>
      </c>
      <c r="V73" s="10">
        <f>300*표1[[#This Row],[열1]]</f>
        <v>50</v>
      </c>
    </row>
    <row r="74" spans="1:22" hidden="1">
      <c r="A74" s="2">
        <v>73</v>
      </c>
      <c r="B74" s="1" t="s">
        <v>18</v>
      </c>
      <c r="C74" s="1" t="s">
        <v>663</v>
      </c>
      <c r="D74" s="1" t="s">
        <v>445</v>
      </c>
      <c r="E74" s="1" t="s">
        <v>665</v>
      </c>
      <c r="F74" s="1" t="s">
        <v>666</v>
      </c>
      <c r="G74" s="1" t="s">
        <v>667</v>
      </c>
      <c r="H74" s="1" t="s">
        <v>619</v>
      </c>
      <c r="I74" s="1" t="s">
        <v>32</v>
      </c>
      <c r="J74" s="1" t="s">
        <v>32</v>
      </c>
      <c r="K74" s="1" t="s">
        <v>667</v>
      </c>
      <c r="L74" s="1" t="s">
        <v>668</v>
      </c>
      <c r="M74" s="1" t="s">
        <v>669</v>
      </c>
      <c r="N74" s="1" t="s">
        <v>32</v>
      </c>
      <c r="O74" s="1" t="s">
        <v>32</v>
      </c>
      <c r="P74" s="1" t="s">
        <v>450</v>
      </c>
      <c r="Q74" s="1" t="s">
        <v>482</v>
      </c>
      <c r="R74" s="3"/>
      <c r="S74" s="3" t="s">
        <v>664</v>
      </c>
      <c r="T74" s="3">
        <f t="shared" si="4"/>
        <v>7</v>
      </c>
      <c r="U74" s="14">
        <f t="shared" si="5"/>
        <v>0.14285714285714285</v>
      </c>
      <c r="V74" s="10">
        <f>300*표1[[#This Row],[열1]]</f>
        <v>42.857142857142854</v>
      </c>
    </row>
    <row r="75" spans="1:22" hidden="1">
      <c r="A75" s="2">
        <v>74</v>
      </c>
      <c r="B75" s="1" t="s">
        <v>18</v>
      </c>
      <c r="C75" s="1" t="s">
        <v>670</v>
      </c>
      <c r="D75" s="1" t="s">
        <v>445</v>
      </c>
      <c r="E75" s="1" t="s">
        <v>672</v>
      </c>
      <c r="F75" s="1" t="s">
        <v>673</v>
      </c>
      <c r="G75" s="1" t="s">
        <v>674</v>
      </c>
      <c r="H75" s="1" t="s">
        <v>675</v>
      </c>
      <c r="I75" s="1" t="s">
        <v>32</v>
      </c>
      <c r="J75" s="1" t="s">
        <v>32</v>
      </c>
      <c r="K75" s="1" t="s">
        <v>674</v>
      </c>
      <c r="L75" s="1" t="s">
        <v>676</v>
      </c>
      <c r="M75" s="1" t="s">
        <v>677</v>
      </c>
      <c r="N75" s="1" t="s">
        <v>32</v>
      </c>
      <c r="O75" s="1" t="s">
        <v>32</v>
      </c>
      <c r="P75" s="1" t="s">
        <v>257</v>
      </c>
      <c r="Q75" s="1" t="s">
        <v>678</v>
      </c>
      <c r="R75" s="3"/>
      <c r="S75" s="3" t="s">
        <v>671</v>
      </c>
      <c r="T75" s="3">
        <f t="shared" si="4"/>
        <v>6</v>
      </c>
      <c r="U75" s="14">
        <f t="shared" si="5"/>
        <v>0.16666666666666666</v>
      </c>
      <c r="V75" s="10">
        <f>300*표1[[#This Row],[열1]]</f>
        <v>50</v>
      </c>
    </row>
    <row r="76" spans="1:22" hidden="1">
      <c r="A76" s="2">
        <v>75</v>
      </c>
      <c r="B76" s="1" t="s">
        <v>18</v>
      </c>
      <c r="C76" s="1" t="s">
        <v>670</v>
      </c>
      <c r="D76" s="1" t="s">
        <v>445</v>
      </c>
      <c r="E76" s="1" t="s">
        <v>679</v>
      </c>
      <c r="F76" s="1" t="s">
        <v>604</v>
      </c>
      <c r="G76" s="1" t="s">
        <v>680</v>
      </c>
      <c r="H76" s="1" t="s">
        <v>681</v>
      </c>
      <c r="I76" s="1" t="s">
        <v>32</v>
      </c>
      <c r="J76" s="1" t="s">
        <v>32</v>
      </c>
      <c r="K76" s="1" t="s">
        <v>680</v>
      </c>
      <c r="L76" s="1" t="s">
        <v>32</v>
      </c>
      <c r="M76" s="1" t="s">
        <v>32</v>
      </c>
      <c r="N76" s="1" t="s">
        <v>32</v>
      </c>
      <c r="O76" s="1" t="s">
        <v>32</v>
      </c>
      <c r="P76" s="1" t="s">
        <v>257</v>
      </c>
      <c r="Q76" s="1" t="s">
        <v>678</v>
      </c>
      <c r="R76" s="3"/>
      <c r="S76" s="3" t="s">
        <v>671</v>
      </c>
      <c r="T76" s="3">
        <f t="shared" si="4"/>
        <v>6</v>
      </c>
      <c r="U76" s="14">
        <f t="shared" si="5"/>
        <v>0.16666666666666666</v>
      </c>
      <c r="V76" s="10">
        <f>300*표1[[#This Row],[열1]]</f>
        <v>50</v>
      </c>
    </row>
    <row r="77" spans="1:22" hidden="1">
      <c r="A77" s="2">
        <v>76</v>
      </c>
      <c r="B77" s="1" t="s">
        <v>18</v>
      </c>
      <c r="C77" s="1" t="s">
        <v>622</v>
      </c>
      <c r="D77" s="1" t="s">
        <v>445</v>
      </c>
      <c r="E77" s="1" t="s">
        <v>682</v>
      </c>
      <c r="F77" s="1" t="s">
        <v>683</v>
      </c>
      <c r="G77" s="1" t="s">
        <v>684</v>
      </c>
      <c r="H77" s="1" t="s">
        <v>161</v>
      </c>
      <c r="I77" s="1" t="s">
        <v>32</v>
      </c>
      <c r="J77" s="1" t="s">
        <v>32</v>
      </c>
      <c r="K77" s="1" t="s">
        <v>684</v>
      </c>
      <c r="L77" s="1" t="s">
        <v>685</v>
      </c>
      <c r="M77" s="1" t="s">
        <v>686</v>
      </c>
      <c r="N77" s="1" t="s">
        <v>32</v>
      </c>
      <c r="O77" s="1" t="s">
        <v>32</v>
      </c>
      <c r="P77" s="1" t="s">
        <v>450</v>
      </c>
      <c r="Q77" s="1" t="s">
        <v>482</v>
      </c>
      <c r="R77" s="3"/>
      <c r="S77" s="3" t="s">
        <v>36</v>
      </c>
      <c r="T77" s="3">
        <f t="shared" si="4"/>
        <v>7</v>
      </c>
      <c r="U77" s="14">
        <f t="shared" si="5"/>
        <v>0.14285714285714285</v>
      </c>
      <c r="V77" s="10">
        <f>300*표1[[#This Row],[열1]]</f>
        <v>42.857142857142854</v>
      </c>
    </row>
    <row r="78" spans="1:22" hidden="1">
      <c r="A78" s="2">
        <v>77</v>
      </c>
      <c r="B78" s="1" t="s">
        <v>18</v>
      </c>
      <c r="C78" s="1" t="s">
        <v>687</v>
      </c>
      <c r="D78" s="1" t="s">
        <v>445</v>
      </c>
      <c r="E78" s="1" t="s">
        <v>689</v>
      </c>
      <c r="F78" s="1" t="s">
        <v>690</v>
      </c>
      <c r="G78" s="1" t="s">
        <v>691</v>
      </c>
      <c r="H78" s="1" t="s">
        <v>650</v>
      </c>
      <c r="I78" s="1" t="s">
        <v>32</v>
      </c>
      <c r="J78" s="1" t="s">
        <v>32</v>
      </c>
      <c r="K78" s="1" t="s">
        <v>691</v>
      </c>
      <c r="L78" s="1" t="s">
        <v>692</v>
      </c>
      <c r="M78" s="1" t="s">
        <v>693</v>
      </c>
      <c r="N78" s="1" t="s">
        <v>32</v>
      </c>
      <c r="O78" s="1" t="s">
        <v>32</v>
      </c>
      <c r="P78" s="1" t="s">
        <v>33</v>
      </c>
      <c r="Q78" s="1" t="s">
        <v>694</v>
      </c>
      <c r="R78" s="3"/>
      <c r="S78" s="3" t="s">
        <v>688</v>
      </c>
      <c r="T78" s="3">
        <f t="shared" si="4"/>
        <v>7</v>
      </c>
      <c r="U78" s="14">
        <f t="shared" si="5"/>
        <v>0.14285714285714285</v>
      </c>
      <c r="V78" s="10">
        <f>300*표1[[#This Row],[열1]]</f>
        <v>42.857142857142854</v>
      </c>
    </row>
    <row r="79" spans="1:22" hidden="1">
      <c r="A79" s="2">
        <v>78</v>
      </c>
      <c r="B79" s="1" t="s">
        <v>18</v>
      </c>
      <c r="C79" s="1" t="s">
        <v>695</v>
      </c>
      <c r="D79" s="1" t="s">
        <v>445</v>
      </c>
      <c r="E79" s="1" t="s">
        <v>697</v>
      </c>
      <c r="F79" s="1" t="s">
        <v>698</v>
      </c>
      <c r="G79" s="1" t="s">
        <v>699</v>
      </c>
      <c r="H79" s="1" t="s">
        <v>107</v>
      </c>
      <c r="I79" s="1" t="s">
        <v>32</v>
      </c>
      <c r="J79" s="1" t="s">
        <v>32</v>
      </c>
      <c r="K79" s="1" t="s">
        <v>699</v>
      </c>
      <c r="L79" s="1" t="s">
        <v>700</v>
      </c>
      <c r="M79" s="1" t="s">
        <v>701</v>
      </c>
      <c r="N79" s="1" t="s">
        <v>32</v>
      </c>
      <c r="O79" s="1" t="s">
        <v>32</v>
      </c>
      <c r="P79" s="1" t="s">
        <v>450</v>
      </c>
      <c r="Q79" s="1" t="s">
        <v>451</v>
      </c>
      <c r="R79" s="3"/>
      <c r="S79" s="3" t="s">
        <v>696</v>
      </c>
      <c r="T79" s="3">
        <f t="shared" si="4"/>
        <v>6</v>
      </c>
      <c r="U79" s="14">
        <f t="shared" si="5"/>
        <v>0.16666666666666666</v>
      </c>
      <c r="V79" s="10">
        <f>300*표1[[#This Row],[열1]]</f>
        <v>50</v>
      </c>
    </row>
    <row r="80" spans="1:22" hidden="1">
      <c r="A80" s="2">
        <v>79</v>
      </c>
      <c r="B80" s="1" t="s">
        <v>18</v>
      </c>
      <c r="C80" s="1" t="s">
        <v>702</v>
      </c>
      <c r="D80" s="1" t="s">
        <v>445</v>
      </c>
      <c r="E80" s="1" t="s">
        <v>704</v>
      </c>
      <c r="F80" s="1" t="s">
        <v>705</v>
      </c>
      <c r="G80" s="1" t="s">
        <v>706</v>
      </c>
      <c r="H80" s="1" t="s">
        <v>707</v>
      </c>
      <c r="I80" s="1" t="s">
        <v>32</v>
      </c>
      <c r="J80" s="1" t="s">
        <v>32</v>
      </c>
      <c r="K80" s="1" t="s">
        <v>706</v>
      </c>
      <c r="L80" s="1" t="s">
        <v>708</v>
      </c>
      <c r="M80" s="1" t="s">
        <v>709</v>
      </c>
      <c r="N80" s="1" t="s">
        <v>32</v>
      </c>
      <c r="O80" s="1" t="s">
        <v>32</v>
      </c>
      <c r="P80" s="1" t="s">
        <v>257</v>
      </c>
      <c r="Q80" s="1" t="s">
        <v>598</v>
      </c>
      <c r="R80" s="3"/>
      <c r="S80" s="3" t="s">
        <v>703</v>
      </c>
      <c r="T80" s="3">
        <f t="shared" si="4"/>
        <v>5</v>
      </c>
      <c r="U80" s="14">
        <f t="shared" si="5"/>
        <v>0.2</v>
      </c>
      <c r="V80" s="10">
        <f>300*표1[[#This Row],[열1]]</f>
        <v>60</v>
      </c>
    </row>
    <row r="81" spans="1:22" hidden="1">
      <c r="A81" s="2">
        <v>80</v>
      </c>
      <c r="B81" s="1" t="s">
        <v>18</v>
      </c>
      <c r="C81" s="1" t="s">
        <v>710</v>
      </c>
      <c r="D81" s="1" t="s">
        <v>445</v>
      </c>
      <c r="E81" s="1" t="s">
        <v>712</v>
      </c>
      <c r="F81" s="1" t="s">
        <v>713</v>
      </c>
      <c r="G81" s="1" t="s">
        <v>714</v>
      </c>
      <c r="H81" s="1" t="s">
        <v>140</v>
      </c>
      <c r="I81" s="1" t="s">
        <v>32</v>
      </c>
      <c r="J81" s="1" t="s">
        <v>32</v>
      </c>
      <c r="K81" s="1" t="s">
        <v>714</v>
      </c>
      <c r="L81" s="1" t="s">
        <v>715</v>
      </c>
      <c r="M81" s="1" t="s">
        <v>716</v>
      </c>
      <c r="N81" s="1" t="s">
        <v>32</v>
      </c>
      <c r="O81" s="1" t="s">
        <v>32</v>
      </c>
      <c r="P81" s="1" t="s">
        <v>257</v>
      </c>
      <c r="Q81" s="1" t="s">
        <v>598</v>
      </c>
      <c r="R81" s="3"/>
      <c r="S81" s="3" t="s">
        <v>711</v>
      </c>
      <c r="T81" s="3">
        <f t="shared" si="4"/>
        <v>5</v>
      </c>
      <c r="U81" s="14">
        <f t="shared" si="5"/>
        <v>0.2</v>
      </c>
      <c r="V81" s="10">
        <f>300*표1[[#This Row],[열1]]</f>
        <v>60</v>
      </c>
    </row>
    <row r="82" spans="1:22" hidden="1">
      <c r="A82" s="2">
        <v>81</v>
      </c>
      <c r="B82" s="1" t="s">
        <v>18</v>
      </c>
      <c r="C82" s="1" t="s">
        <v>658</v>
      </c>
      <c r="D82" s="1" t="s">
        <v>445</v>
      </c>
      <c r="E82" s="1" t="s">
        <v>717</v>
      </c>
      <c r="F82" s="1" t="s">
        <v>718</v>
      </c>
      <c r="G82" s="1" t="s">
        <v>719</v>
      </c>
      <c r="H82" s="1" t="s">
        <v>720</v>
      </c>
      <c r="I82" s="1" t="s">
        <v>32</v>
      </c>
      <c r="J82" s="1" t="s">
        <v>32</v>
      </c>
      <c r="K82" s="1" t="s">
        <v>719</v>
      </c>
      <c r="L82" s="1" t="s">
        <v>32</v>
      </c>
      <c r="M82" s="1" t="s">
        <v>32</v>
      </c>
      <c r="N82" s="1" t="s">
        <v>32</v>
      </c>
      <c r="O82" s="1" t="s">
        <v>32</v>
      </c>
      <c r="P82" s="1" t="s">
        <v>33</v>
      </c>
      <c r="Q82" s="1" t="s">
        <v>550</v>
      </c>
      <c r="R82" s="3"/>
      <c r="S82" s="3" t="s">
        <v>659</v>
      </c>
      <c r="T82" s="3">
        <f t="shared" si="4"/>
        <v>6</v>
      </c>
      <c r="U82" s="14">
        <f t="shared" si="5"/>
        <v>0.16666666666666666</v>
      </c>
      <c r="V82" s="10">
        <f>300*표1[[#This Row],[열1]]</f>
        <v>50</v>
      </c>
    </row>
    <row r="83" spans="1:22" hidden="1">
      <c r="A83" s="2">
        <v>82</v>
      </c>
      <c r="B83" s="1" t="s">
        <v>18</v>
      </c>
      <c r="C83" s="1" t="s">
        <v>721</v>
      </c>
      <c r="D83" s="1" t="s">
        <v>445</v>
      </c>
      <c r="E83" s="1" t="s">
        <v>723</v>
      </c>
      <c r="F83" s="1" t="s">
        <v>724</v>
      </c>
      <c r="G83" s="1" t="s">
        <v>725</v>
      </c>
      <c r="H83" s="1" t="s">
        <v>604</v>
      </c>
      <c r="I83" s="1" t="s">
        <v>32</v>
      </c>
      <c r="J83" s="1" t="s">
        <v>32</v>
      </c>
      <c r="K83" s="1" t="s">
        <v>725</v>
      </c>
      <c r="L83" s="1" t="s">
        <v>726</v>
      </c>
      <c r="M83" s="1" t="s">
        <v>727</v>
      </c>
      <c r="N83" s="1" t="s">
        <v>32</v>
      </c>
      <c r="O83" s="1" t="s">
        <v>32</v>
      </c>
      <c r="P83" s="1" t="s">
        <v>33</v>
      </c>
      <c r="Q83" s="1" t="s">
        <v>516</v>
      </c>
      <c r="R83" s="3"/>
      <c r="S83" s="3" t="s">
        <v>722</v>
      </c>
      <c r="T83" s="3">
        <f t="shared" si="4"/>
        <v>6</v>
      </c>
      <c r="U83" s="14">
        <f t="shared" si="5"/>
        <v>0.16666666666666666</v>
      </c>
      <c r="V83" s="10">
        <f>300*표1[[#This Row],[열1]]</f>
        <v>50</v>
      </c>
    </row>
    <row r="84" spans="1:22" hidden="1">
      <c r="A84" s="2">
        <v>83</v>
      </c>
      <c r="B84" s="1" t="s">
        <v>18</v>
      </c>
      <c r="C84" s="1" t="s">
        <v>483</v>
      </c>
      <c r="D84" s="1" t="s">
        <v>445</v>
      </c>
      <c r="E84" s="1" t="s">
        <v>729</v>
      </c>
      <c r="F84" s="1" t="s">
        <v>730</v>
      </c>
      <c r="G84" s="1" t="s">
        <v>731</v>
      </c>
      <c r="H84" s="1" t="s">
        <v>521</v>
      </c>
      <c r="I84" s="1" t="s">
        <v>32</v>
      </c>
      <c r="J84" s="1" t="s">
        <v>32</v>
      </c>
      <c r="K84" s="1" t="s">
        <v>731</v>
      </c>
      <c r="L84" s="1" t="s">
        <v>732</v>
      </c>
      <c r="M84" s="1" t="s">
        <v>733</v>
      </c>
      <c r="N84" s="1" t="s">
        <v>32</v>
      </c>
      <c r="O84" s="1" t="s">
        <v>32</v>
      </c>
      <c r="P84" s="1" t="s">
        <v>33</v>
      </c>
      <c r="Q84" s="1" t="s">
        <v>52</v>
      </c>
      <c r="R84" s="3"/>
      <c r="S84" s="3" t="s">
        <v>728</v>
      </c>
      <c r="T84" s="3">
        <f t="shared" si="4"/>
        <v>6</v>
      </c>
      <c r="U84" s="14">
        <f t="shared" si="5"/>
        <v>0.16666666666666666</v>
      </c>
      <c r="V84" s="10">
        <f>300*표1[[#This Row],[열1]]</f>
        <v>50</v>
      </c>
    </row>
    <row r="85" spans="1:22" hidden="1">
      <c r="A85" s="2">
        <v>84</v>
      </c>
      <c r="B85" s="1" t="s">
        <v>18</v>
      </c>
      <c r="C85" s="1" t="s">
        <v>734</v>
      </c>
      <c r="D85" s="1" t="s">
        <v>445</v>
      </c>
      <c r="E85" s="1" t="s">
        <v>736</v>
      </c>
      <c r="F85" s="1" t="s">
        <v>737</v>
      </c>
      <c r="G85" s="1" t="s">
        <v>738</v>
      </c>
      <c r="H85" s="1" t="s">
        <v>739</v>
      </c>
      <c r="I85" s="1" t="s">
        <v>32</v>
      </c>
      <c r="J85" s="1" t="s">
        <v>32</v>
      </c>
      <c r="K85" s="1" t="s">
        <v>738</v>
      </c>
      <c r="L85" s="1" t="s">
        <v>740</v>
      </c>
      <c r="M85" s="1" t="s">
        <v>741</v>
      </c>
      <c r="N85" s="1" t="s">
        <v>32</v>
      </c>
      <c r="O85" s="1" t="s">
        <v>32</v>
      </c>
      <c r="P85" s="1" t="s">
        <v>450</v>
      </c>
      <c r="Q85" s="1" t="s">
        <v>482</v>
      </c>
      <c r="R85" s="3"/>
      <c r="S85" s="3" t="s">
        <v>735</v>
      </c>
      <c r="T85" s="3">
        <f t="shared" si="4"/>
        <v>7</v>
      </c>
      <c r="U85" s="14">
        <f t="shared" si="5"/>
        <v>0.14285714285714285</v>
      </c>
      <c r="V85" s="10">
        <f>300*표1[[#This Row],[열1]]</f>
        <v>42.857142857142854</v>
      </c>
    </row>
    <row r="86" spans="1:22" hidden="1">
      <c r="A86" s="2">
        <v>85</v>
      </c>
      <c r="B86" s="1" t="s">
        <v>18</v>
      </c>
      <c r="C86" s="1" t="s">
        <v>742</v>
      </c>
      <c r="D86" s="1" t="s">
        <v>445</v>
      </c>
      <c r="E86" s="1" t="s">
        <v>744</v>
      </c>
      <c r="F86" s="1" t="s">
        <v>113</v>
      </c>
      <c r="G86" s="1" t="s">
        <v>745</v>
      </c>
      <c r="H86" s="1" t="s">
        <v>472</v>
      </c>
      <c r="I86" s="1" t="s">
        <v>32</v>
      </c>
      <c r="J86" s="1" t="s">
        <v>32</v>
      </c>
      <c r="K86" s="1" t="s">
        <v>745</v>
      </c>
      <c r="L86" s="1" t="s">
        <v>746</v>
      </c>
      <c r="M86" s="1" t="s">
        <v>747</v>
      </c>
      <c r="N86" s="1" t="s">
        <v>32</v>
      </c>
      <c r="O86" s="1" t="s">
        <v>32</v>
      </c>
      <c r="P86" s="1" t="s">
        <v>33</v>
      </c>
      <c r="Q86" s="1" t="s">
        <v>632</v>
      </c>
      <c r="R86" s="3"/>
      <c r="S86" s="3" t="s">
        <v>743</v>
      </c>
      <c r="T86" s="3">
        <f t="shared" si="4"/>
        <v>6</v>
      </c>
      <c r="U86" s="14">
        <f t="shared" si="5"/>
        <v>0.16666666666666666</v>
      </c>
      <c r="V86" s="10">
        <f>300*표1[[#This Row],[열1]]</f>
        <v>50</v>
      </c>
    </row>
    <row r="87" spans="1:22" hidden="1">
      <c r="A87" s="2">
        <v>86</v>
      </c>
      <c r="B87" s="1" t="s">
        <v>18</v>
      </c>
      <c r="C87" s="1" t="s">
        <v>497</v>
      </c>
      <c r="D87" s="1" t="s">
        <v>445</v>
      </c>
      <c r="E87" s="1" t="s">
        <v>749</v>
      </c>
      <c r="F87" s="1" t="s">
        <v>750</v>
      </c>
      <c r="G87" s="1" t="s">
        <v>751</v>
      </c>
      <c r="H87" s="1" t="s">
        <v>752</v>
      </c>
      <c r="I87" s="1" t="s">
        <v>32</v>
      </c>
      <c r="J87" s="1" t="s">
        <v>32</v>
      </c>
      <c r="K87" s="1" t="s">
        <v>751</v>
      </c>
      <c r="L87" s="1" t="s">
        <v>753</v>
      </c>
      <c r="M87" s="1" t="s">
        <v>754</v>
      </c>
      <c r="N87" s="1" t="s">
        <v>32</v>
      </c>
      <c r="O87" s="1" t="s">
        <v>32</v>
      </c>
      <c r="P87" s="1" t="s">
        <v>33</v>
      </c>
      <c r="Q87" s="1" t="s">
        <v>77</v>
      </c>
      <c r="R87" s="3"/>
      <c r="S87" s="3" t="s">
        <v>748</v>
      </c>
      <c r="T87" s="3">
        <f t="shared" si="4"/>
        <v>7</v>
      </c>
      <c r="U87" s="14">
        <f t="shared" si="5"/>
        <v>0.14285714285714285</v>
      </c>
      <c r="V87" s="10">
        <f>300*표1[[#This Row],[열1]]</f>
        <v>42.857142857142854</v>
      </c>
    </row>
    <row r="88" spans="1:22" hidden="1">
      <c r="A88" s="2">
        <v>87</v>
      </c>
      <c r="B88" s="1" t="s">
        <v>18</v>
      </c>
      <c r="C88" s="1" t="s">
        <v>755</v>
      </c>
      <c r="D88" s="1" t="s">
        <v>445</v>
      </c>
      <c r="E88" s="1" t="s">
        <v>757</v>
      </c>
      <c r="F88" s="1" t="s">
        <v>413</v>
      </c>
      <c r="G88" s="1" t="s">
        <v>758</v>
      </c>
      <c r="H88" s="1" t="s">
        <v>146</v>
      </c>
      <c r="I88" s="1" t="s">
        <v>32</v>
      </c>
      <c r="J88" s="1" t="s">
        <v>32</v>
      </c>
      <c r="K88" s="1" t="s">
        <v>758</v>
      </c>
      <c r="L88" s="1" t="s">
        <v>759</v>
      </c>
      <c r="M88" s="1" t="s">
        <v>760</v>
      </c>
      <c r="N88" s="1" t="s">
        <v>32</v>
      </c>
      <c r="O88" s="1" t="s">
        <v>32</v>
      </c>
      <c r="P88" s="1" t="s">
        <v>257</v>
      </c>
      <c r="Q88" s="1" t="s">
        <v>598</v>
      </c>
      <c r="R88" s="3"/>
      <c r="S88" s="3" t="s">
        <v>756</v>
      </c>
      <c r="T88" s="3">
        <f t="shared" si="4"/>
        <v>5</v>
      </c>
      <c r="U88" s="14">
        <f t="shared" si="5"/>
        <v>0.2</v>
      </c>
      <c r="V88" s="10">
        <f>300*표1[[#This Row],[열1]]</f>
        <v>60</v>
      </c>
    </row>
    <row r="89" spans="1:22" hidden="1">
      <c r="A89" s="2">
        <v>88</v>
      </c>
      <c r="B89" s="1" t="s">
        <v>18</v>
      </c>
      <c r="C89" s="1" t="s">
        <v>761</v>
      </c>
      <c r="D89" s="1" t="s">
        <v>445</v>
      </c>
      <c r="E89" s="1" t="s">
        <v>763</v>
      </c>
      <c r="F89" s="1" t="s">
        <v>764</v>
      </c>
      <c r="G89" s="1" t="s">
        <v>765</v>
      </c>
      <c r="H89" s="1" t="s">
        <v>58</v>
      </c>
      <c r="I89" s="1" t="s">
        <v>32</v>
      </c>
      <c r="J89" s="1" t="s">
        <v>32</v>
      </c>
      <c r="K89" s="1" t="s">
        <v>765</v>
      </c>
      <c r="L89" s="1" t="s">
        <v>766</v>
      </c>
      <c r="M89" s="1" t="s">
        <v>767</v>
      </c>
      <c r="N89" s="1" t="s">
        <v>32</v>
      </c>
      <c r="O89" s="1" t="s">
        <v>32</v>
      </c>
      <c r="P89" s="1" t="s">
        <v>450</v>
      </c>
      <c r="Q89" s="1" t="s">
        <v>768</v>
      </c>
      <c r="R89" s="3"/>
      <c r="S89" s="3" t="s">
        <v>762</v>
      </c>
      <c r="T89" s="3">
        <f t="shared" si="4"/>
        <v>6</v>
      </c>
      <c r="U89" s="14">
        <f t="shared" si="5"/>
        <v>0.16666666666666666</v>
      </c>
      <c r="V89" s="10">
        <f>300*표1[[#This Row],[열1]]</f>
        <v>50</v>
      </c>
    </row>
    <row r="90" spans="1:22" hidden="1">
      <c r="A90" s="2">
        <v>89</v>
      </c>
      <c r="B90" s="1" t="s">
        <v>18</v>
      </c>
      <c r="C90" s="1" t="s">
        <v>769</v>
      </c>
      <c r="D90" s="1" t="s">
        <v>445</v>
      </c>
      <c r="E90" s="1" t="s">
        <v>771</v>
      </c>
      <c r="F90" s="1" t="s">
        <v>772</v>
      </c>
      <c r="G90" s="1" t="s">
        <v>773</v>
      </c>
      <c r="H90" s="1" t="s">
        <v>774</v>
      </c>
      <c r="I90" s="1" t="s">
        <v>32</v>
      </c>
      <c r="J90" s="1" t="s">
        <v>32</v>
      </c>
      <c r="K90" s="1" t="s">
        <v>773</v>
      </c>
      <c r="L90" s="1" t="s">
        <v>775</v>
      </c>
      <c r="M90" s="1" t="s">
        <v>776</v>
      </c>
      <c r="N90" s="1" t="s">
        <v>32</v>
      </c>
      <c r="O90" s="1" t="s">
        <v>32</v>
      </c>
      <c r="P90" s="1" t="s">
        <v>450</v>
      </c>
      <c r="Q90" s="1" t="s">
        <v>777</v>
      </c>
      <c r="R90" s="3"/>
      <c r="S90" s="3" t="s">
        <v>770</v>
      </c>
      <c r="T90" s="3">
        <f t="shared" si="4"/>
        <v>7</v>
      </c>
      <c r="U90" s="14">
        <f t="shared" si="5"/>
        <v>0.14285714285714285</v>
      </c>
      <c r="V90" s="10">
        <f>300*표1[[#This Row],[열1]]</f>
        <v>42.857142857142854</v>
      </c>
    </row>
    <row r="91" spans="1:22" hidden="1">
      <c r="A91" s="2">
        <v>90</v>
      </c>
      <c r="B91" s="1" t="s">
        <v>18</v>
      </c>
      <c r="C91" s="1" t="s">
        <v>778</v>
      </c>
      <c r="D91" s="1" t="s">
        <v>445</v>
      </c>
      <c r="E91" s="1" t="s">
        <v>780</v>
      </c>
      <c r="F91" s="1" t="s">
        <v>781</v>
      </c>
      <c r="G91" s="1" t="s">
        <v>782</v>
      </c>
      <c r="H91" s="1" t="s">
        <v>783</v>
      </c>
      <c r="I91" s="1" t="s">
        <v>32</v>
      </c>
      <c r="J91" s="1" t="s">
        <v>32</v>
      </c>
      <c r="K91" s="1" t="s">
        <v>782</v>
      </c>
      <c r="L91" s="1" t="s">
        <v>784</v>
      </c>
      <c r="M91" s="1" t="s">
        <v>785</v>
      </c>
      <c r="N91" s="1" t="s">
        <v>32</v>
      </c>
      <c r="O91" s="1" t="s">
        <v>32</v>
      </c>
      <c r="P91" s="1" t="s">
        <v>33</v>
      </c>
      <c r="Q91" s="1" t="s">
        <v>694</v>
      </c>
      <c r="R91" s="3"/>
      <c r="S91" s="3" t="s">
        <v>779</v>
      </c>
      <c r="T91" s="3">
        <f t="shared" si="4"/>
        <v>7</v>
      </c>
      <c r="U91" s="14">
        <f t="shared" si="5"/>
        <v>0.14285714285714285</v>
      </c>
      <c r="V91" s="10">
        <f>300*표1[[#This Row],[열1]]</f>
        <v>42.857142857142854</v>
      </c>
    </row>
    <row r="92" spans="1:22" hidden="1">
      <c r="A92" s="2">
        <v>91</v>
      </c>
      <c r="B92" s="1" t="s">
        <v>18</v>
      </c>
      <c r="C92" s="1" t="s">
        <v>786</v>
      </c>
      <c r="D92" s="1" t="s">
        <v>445</v>
      </c>
      <c r="E92" s="1" t="s">
        <v>788</v>
      </c>
      <c r="F92" s="1" t="s">
        <v>789</v>
      </c>
      <c r="G92" s="1" t="s">
        <v>790</v>
      </c>
      <c r="H92" s="1" t="s">
        <v>267</v>
      </c>
      <c r="I92" s="1" t="s">
        <v>32</v>
      </c>
      <c r="J92" s="1" t="s">
        <v>32</v>
      </c>
      <c r="K92" s="1" t="s">
        <v>790</v>
      </c>
      <c r="L92" s="1" t="s">
        <v>791</v>
      </c>
      <c r="M92" s="1" t="s">
        <v>792</v>
      </c>
      <c r="N92" s="1" t="s">
        <v>32</v>
      </c>
      <c r="O92" s="1" t="s">
        <v>32</v>
      </c>
      <c r="P92" s="1" t="s">
        <v>450</v>
      </c>
      <c r="Q92" s="1" t="s">
        <v>768</v>
      </c>
      <c r="R92" s="3"/>
      <c r="S92" s="3" t="s">
        <v>787</v>
      </c>
      <c r="T92" s="3">
        <f t="shared" si="4"/>
        <v>6</v>
      </c>
      <c r="U92" s="14">
        <f t="shared" si="5"/>
        <v>0.16666666666666666</v>
      </c>
      <c r="V92" s="10">
        <f>300*표1[[#This Row],[열1]]</f>
        <v>50</v>
      </c>
    </row>
    <row r="93" spans="1:22" hidden="1">
      <c r="A93" s="2">
        <v>92</v>
      </c>
      <c r="B93" s="1" t="s">
        <v>18</v>
      </c>
      <c r="C93" s="1" t="s">
        <v>793</v>
      </c>
      <c r="D93" s="1" t="s">
        <v>445</v>
      </c>
      <c r="E93" s="1" t="s">
        <v>795</v>
      </c>
      <c r="F93" s="1" t="s">
        <v>796</v>
      </c>
      <c r="G93" s="1" t="s">
        <v>797</v>
      </c>
      <c r="H93" s="1" t="s">
        <v>798</v>
      </c>
      <c r="I93" s="1" t="s">
        <v>32</v>
      </c>
      <c r="J93" s="1" t="s">
        <v>32</v>
      </c>
      <c r="K93" s="1" t="s">
        <v>797</v>
      </c>
      <c r="L93" s="1" t="s">
        <v>799</v>
      </c>
      <c r="M93" s="1" t="s">
        <v>800</v>
      </c>
      <c r="N93" s="1" t="s">
        <v>32</v>
      </c>
      <c r="O93" s="1" t="s">
        <v>32</v>
      </c>
      <c r="P93" s="1" t="s">
        <v>257</v>
      </c>
      <c r="Q93" s="1" t="s">
        <v>801</v>
      </c>
      <c r="R93" s="3"/>
      <c r="S93" s="3" t="s">
        <v>794</v>
      </c>
      <c r="T93" s="3">
        <f t="shared" si="4"/>
        <v>5</v>
      </c>
      <c r="U93" s="14">
        <f t="shared" si="5"/>
        <v>0.2</v>
      </c>
      <c r="V93" s="10">
        <f>300*표1[[#This Row],[열1]]</f>
        <v>60</v>
      </c>
    </row>
    <row r="94" spans="1:22" hidden="1">
      <c r="A94" s="2">
        <v>93</v>
      </c>
      <c r="B94" s="1" t="s">
        <v>18</v>
      </c>
      <c r="C94" s="1" t="s">
        <v>802</v>
      </c>
      <c r="D94" s="1" t="s">
        <v>445</v>
      </c>
      <c r="E94" s="1" t="s">
        <v>804</v>
      </c>
      <c r="F94" s="1" t="s">
        <v>594</v>
      </c>
      <c r="G94" s="1" t="s">
        <v>805</v>
      </c>
      <c r="H94" s="1" t="s">
        <v>604</v>
      </c>
      <c r="I94" s="1" t="s">
        <v>32</v>
      </c>
      <c r="J94" s="1" t="s">
        <v>32</v>
      </c>
      <c r="K94" s="1" t="s">
        <v>805</v>
      </c>
      <c r="L94" s="1" t="s">
        <v>806</v>
      </c>
      <c r="M94" s="1" t="s">
        <v>597</v>
      </c>
      <c r="N94" s="1" t="s">
        <v>32</v>
      </c>
      <c r="O94" s="1" t="s">
        <v>32</v>
      </c>
      <c r="P94" s="1" t="s">
        <v>257</v>
      </c>
      <c r="Q94" s="1" t="s">
        <v>598</v>
      </c>
      <c r="R94" s="3"/>
      <c r="S94" s="3" t="s">
        <v>803</v>
      </c>
      <c r="T94" s="3">
        <f t="shared" si="4"/>
        <v>5</v>
      </c>
      <c r="U94" s="14">
        <f t="shared" si="5"/>
        <v>0.2</v>
      </c>
      <c r="V94" s="10">
        <f>300*표1[[#This Row],[열1]]</f>
        <v>60</v>
      </c>
    </row>
    <row r="95" spans="1:22" hidden="1">
      <c r="A95" s="2">
        <v>94</v>
      </c>
      <c r="B95" s="1" t="s">
        <v>18</v>
      </c>
      <c r="C95" s="1" t="s">
        <v>807</v>
      </c>
      <c r="D95" s="1" t="s">
        <v>445</v>
      </c>
      <c r="E95" s="1" t="s">
        <v>809</v>
      </c>
      <c r="F95" s="1" t="s">
        <v>750</v>
      </c>
      <c r="G95" s="1" t="s">
        <v>810</v>
      </c>
      <c r="H95" s="1" t="s">
        <v>528</v>
      </c>
      <c r="I95" s="1" t="s">
        <v>32</v>
      </c>
      <c r="J95" s="1" t="s">
        <v>32</v>
      </c>
      <c r="K95" s="1" t="s">
        <v>810</v>
      </c>
      <c r="L95" s="1" t="s">
        <v>811</v>
      </c>
      <c r="M95" s="1" t="s">
        <v>754</v>
      </c>
      <c r="N95" s="1" t="s">
        <v>32</v>
      </c>
      <c r="O95" s="1" t="s">
        <v>32</v>
      </c>
      <c r="P95" s="1" t="s">
        <v>33</v>
      </c>
      <c r="Q95" s="1" t="s">
        <v>812</v>
      </c>
      <c r="R95" s="3"/>
      <c r="S95" s="3" t="s">
        <v>808</v>
      </c>
      <c r="T95" s="3">
        <f t="shared" si="4"/>
        <v>6</v>
      </c>
      <c r="U95" s="14">
        <f t="shared" si="5"/>
        <v>0.16666666666666666</v>
      </c>
      <c r="V95" s="10">
        <f>300*표1[[#This Row],[열1]]</f>
        <v>50</v>
      </c>
    </row>
    <row r="96" spans="1:22" hidden="1">
      <c r="A96" s="2">
        <v>95</v>
      </c>
      <c r="B96" s="1" t="s">
        <v>18</v>
      </c>
      <c r="C96" s="1" t="s">
        <v>813</v>
      </c>
      <c r="D96" s="1" t="s">
        <v>445</v>
      </c>
      <c r="E96" s="1" t="s">
        <v>815</v>
      </c>
      <c r="F96" s="1" t="s">
        <v>816</v>
      </c>
      <c r="G96" s="1" t="s">
        <v>817</v>
      </c>
      <c r="H96" s="1" t="s">
        <v>619</v>
      </c>
      <c r="I96" s="1" t="s">
        <v>32</v>
      </c>
      <c r="J96" s="1" t="s">
        <v>32</v>
      </c>
      <c r="K96" s="1" t="s">
        <v>817</v>
      </c>
      <c r="L96" s="1" t="s">
        <v>818</v>
      </c>
      <c r="M96" s="1" t="s">
        <v>819</v>
      </c>
      <c r="N96" s="1" t="s">
        <v>32</v>
      </c>
      <c r="O96" s="1" t="s">
        <v>32</v>
      </c>
      <c r="P96" s="1" t="s">
        <v>450</v>
      </c>
      <c r="Q96" s="1" t="s">
        <v>503</v>
      </c>
      <c r="R96" s="3"/>
      <c r="S96" s="3" t="s">
        <v>814</v>
      </c>
      <c r="T96" s="3">
        <f t="shared" si="4"/>
        <v>7</v>
      </c>
      <c r="U96" s="14">
        <f t="shared" si="5"/>
        <v>0.14285714285714285</v>
      </c>
      <c r="V96" s="10">
        <f>300*표1[[#This Row],[열1]]</f>
        <v>42.857142857142854</v>
      </c>
    </row>
    <row r="97" spans="1:22" hidden="1">
      <c r="A97" s="2">
        <v>96</v>
      </c>
      <c r="B97" s="1" t="s">
        <v>18</v>
      </c>
      <c r="C97" s="1" t="s">
        <v>820</v>
      </c>
      <c r="D97" s="1" t="s">
        <v>445</v>
      </c>
      <c r="E97" s="1" t="s">
        <v>822</v>
      </c>
      <c r="F97" s="1" t="s">
        <v>823</v>
      </c>
      <c r="G97" s="1" t="s">
        <v>824</v>
      </c>
      <c r="H97" s="1" t="s">
        <v>825</v>
      </c>
      <c r="I97" s="1" t="s">
        <v>32</v>
      </c>
      <c r="J97" s="1" t="s">
        <v>32</v>
      </c>
      <c r="K97" s="1" t="s">
        <v>824</v>
      </c>
      <c r="L97" s="1" t="s">
        <v>826</v>
      </c>
      <c r="M97" s="1" t="s">
        <v>827</v>
      </c>
      <c r="N97" s="1" t="s">
        <v>32</v>
      </c>
      <c r="O97" s="1" t="s">
        <v>32</v>
      </c>
      <c r="P97" s="1" t="s">
        <v>33</v>
      </c>
      <c r="Q97" s="1" t="s">
        <v>828</v>
      </c>
      <c r="R97" s="3"/>
      <c r="S97" s="3" t="s">
        <v>821</v>
      </c>
      <c r="T97" s="3">
        <f t="shared" si="4"/>
        <v>7</v>
      </c>
      <c r="U97" s="14">
        <f t="shared" si="5"/>
        <v>0.14285714285714285</v>
      </c>
      <c r="V97" s="10">
        <f>300*표1[[#This Row],[열1]]</f>
        <v>42.857142857142854</v>
      </c>
    </row>
    <row r="98" spans="1:22" hidden="1">
      <c r="A98" s="2">
        <v>97</v>
      </c>
      <c r="B98" s="1" t="s">
        <v>18</v>
      </c>
      <c r="C98" s="1" t="s">
        <v>829</v>
      </c>
      <c r="D98" s="1" t="s">
        <v>445</v>
      </c>
      <c r="E98" s="1" t="s">
        <v>831</v>
      </c>
      <c r="F98" s="1" t="s">
        <v>832</v>
      </c>
      <c r="G98" s="1" t="s">
        <v>833</v>
      </c>
      <c r="H98" s="1" t="s">
        <v>834</v>
      </c>
      <c r="I98" s="1" t="s">
        <v>32</v>
      </c>
      <c r="J98" s="1" t="s">
        <v>32</v>
      </c>
      <c r="K98" s="1" t="s">
        <v>833</v>
      </c>
      <c r="L98" s="1" t="s">
        <v>835</v>
      </c>
      <c r="M98" s="1" t="s">
        <v>836</v>
      </c>
      <c r="N98" s="1" t="s">
        <v>32</v>
      </c>
      <c r="O98" s="1" t="s">
        <v>32</v>
      </c>
      <c r="P98" s="1" t="s">
        <v>257</v>
      </c>
      <c r="Q98" s="1" t="s">
        <v>837</v>
      </c>
      <c r="R98" s="3"/>
      <c r="S98" s="3" t="s">
        <v>830</v>
      </c>
      <c r="T98" s="3">
        <f t="shared" si="4"/>
        <v>5</v>
      </c>
      <c r="U98" s="14">
        <f t="shared" si="5"/>
        <v>0.2</v>
      </c>
      <c r="V98" s="10">
        <f>300*표1[[#This Row],[열1]]</f>
        <v>60</v>
      </c>
    </row>
    <row r="99" spans="1:22" hidden="1">
      <c r="A99" s="7">
        <v>98</v>
      </c>
      <c r="B99" s="8" t="s">
        <v>18</v>
      </c>
      <c r="C99" s="8" t="s">
        <v>838</v>
      </c>
      <c r="D99" s="8" t="s">
        <v>445</v>
      </c>
      <c r="E99" s="8" t="s">
        <v>840</v>
      </c>
      <c r="F99" s="8" t="s">
        <v>841</v>
      </c>
      <c r="G99" s="8" t="s">
        <v>842</v>
      </c>
      <c r="H99" s="8" t="s">
        <v>843</v>
      </c>
      <c r="I99" s="8" t="s">
        <v>32</v>
      </c>
      <c r="J99" s="8" t="s">
        <v>32</v>
      </c>
      <c r="K99" s="8" t="s">
        <v>842</v>
      </c>
      <c r="L99" s="8" t="s">
        <v>844</v>
      </c>
      <c r="M99" s="8" t="s">
        <v>845</v>
      </c>
      <c r="N99" s="8" t="s">
        <v>32</v>
      </c>
      <c r="O99" s="8" t="s">
        <v>32</v>
      </c>
      <c r="P99" s="8" t="s">
        <v>257</v>
      </c>
      <c r="Q99" s="8" t="s">
        <v>846</v>
      </c>
      <c r="R99" s="9"/>
      <c r="S99" s="9" t="s">
        <v>839</v>
      </c>
      <c r="T99" s="9">
        <f t="shared" si="4"/>
        <v>5</v>
      </c>
      <c r="U99" s="15">
        <f t="shared" si="5"/>
        <v>0.2</v>
      </c>
      <c r="V99" s="12">
        <f>300*표1[[#This Row],[열1]]</f>
        <v>60</v>
      </c>
    </row>
    <row r="100" spans="1:22">
      <c r="A100" s="16"/>
      <c r="B100" s="12"/>
      <c r="C100" s="12"/>
      <c r="D100" s="12"/>
      <c r="E100" s="12"/>
      <c r="F100" s="12"/>
      <c r="G100" s="12"/>
      <c r="H100" s="12"/>
      <c r="I100" s="12"/>
      <c r="J100" s="12"/>
      <c r="K100" s="12"/>
      <c r="L100" s="12"/>
      <c r="M100" s="12"/>
      <c r="N100" s="12"/>
      <c r="O100" s="12"/>
      <c r="P100" s="12"/>
      <c r="Q100" s="12"/>
      <c r="R100" s="12"/>
      <c r="S100" s="17"/>
      <c r="T100" s="17"/>
      <c r="U100" s="15"/>
      <c r="V100" s="12">
        <f>SUM(V2:V36)</f>
        <v>1716.7857142857144</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2025-04-07T01:48:07Z</dcterms:created>
  <dcterms:modified xsi:type="dcterms:W3CDTF">2025-12-11T10:42:38Z</dcterms:modified>
  <cp:category/>
</cp:coreProperties>
</file>